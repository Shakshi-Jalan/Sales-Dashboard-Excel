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ks\Downloads\"/>
    </mc:Choice>
  </mc:AlternateContent>
  <xr:revisionPtr revIDLastSave="0" documentId="8_{F1996575-B988-4FD2-9D85-E52CA227E53C}" xr6:coauthVersionLast="47" xr6:coauthVersionMax="47" xr10:uidLastSave="{00000000-0000-0000-0000-000000000000}"/>
  <bookViews>
    <workbookView xWindow="-108" yWindow="-108" windowWidth="23256" windowHeight="12456" activeTab="1" xr2:uid="{00000000-000D-0000-FFFF-FFFF00000000}"/>
  </bookViews>
  <sheets>
    <sheet name="Sales Data" sheetId="1" r:id="rId1"/>
    <sheet name="Dashboard" sheetId="10" r:id="rId2"/>
    <sheet name="Sales by Category" sheetId="7" r:id="rId3"/>
    <sheet name="Profit by category" sheetId="8" r:id="rId4"/>
    <sheet name="Payment mode distri" sheetId="9" r:id="rId5"/>
    <sheet name="Monthly Sales trend" sheetId="6" r:id="rId6"/>
    <sheet name="Sales by region" sheetId="3" r:id="rId7"/>
    <sheet name="KPI Analysis " sheetId="12" r:id="rId8"/>
  </sheets>
  <definedNames>
    <definedName name="_xlnm._FilterDatabase" localSheetId="0" hidden="1">'Sales Data'!$A$1:$L$25</definedName>
    <definedName name="NativeTimeline_Order_Date">#N/A</definedName>
    <definedName name="Slicer_Category">#N/A</definedName>
    <definedName name="Slicer_Customer_Type">#N/A</definedName>
    <definedName name="Slicer_Payment_Mode">#N/A</definedName>
    <definedName name="Slicer_Region">#N/A</definedName>
  </definedNames>
  <calcPr calcId="191029"/>
  <pivotCaches>
    <pivotCache cacheId="5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2" l="1"/>
  <c r="F6" i="12"/>
  <c r="E6" i="12"/>
  <c r="D6" i="12"/>
  <c r="C6" i="12"/>
</calcChain>
</file>

<file path=xl/sharedStrings.xml><?xml version="1.0" encoding="utf-8"?>
<sst xmlns="http://schemas.openxmlformats.org/spreadsheetml/2006/main" count="220" uniqueCount="91">
  <si>
    <t>Order_ID</t>
  </si>
  <si>
    <t>Order_Date</t>
  </si>
  <si>
    <t>Region</t>
  </si>
  <si>
    <t>City</t>
  </si>
  <si>
    <t>Category</t>
  </si>
  <si>
    <t>Product</t>
  </si>
  <si>
    <t>Sales</t>
  </si>
  <si>
    <t>Quantity</t>
  </si>
  <si>
    <t>Discount</t>
  </si>
  <si>
    <t>Profit</t>
  </si>
  <si>
    <t>Payment_Mode</t>
  </si>
  <si>
    <t>Customer_Type</t>
  </si>
  <si>
    <t>ORD001</t>
  </si>
  <si>
    <t>North</t>
  </si>
  <si>
    <t>Delhi</t>
  </si>
  <si>
    <t>Electronics</t>
  </si>
  <si>
    <t>Headphones</t>
  </si>
  <si>
    <t>UPI</t>
  </si>
  <si>
    <t>Returning</t>
  </si>
  <si>
    <t>ORD002</t>
  </si>
  <si>
    <t>South</t>
  </si>
  <si>
    <t>Bengaluru</t>
  </si>
  <si>
    <t>Furniture</t>
  </si>
  <si>
    <t>Office Chair</t>
  </si>
  <si>
    <t>Credit Card</t>
  </si>
  <si>
    <t>New</t>
  </si>
  <si>
    <t>ORD003</t>
  </si>
  <si>
    <t>West</t>
  </si>
  <si>
    <t>Mumbai</t>
  </si>
  <si>
    <t>Keyboard</t>
  </si>
  <si>
    <t>ORD004</t>
  </si>
  <si>
    <t>East</t>
  </si>
  <si>
    <t>Kolkata</t>
  </si>
  <si>
    <t>Clothing</t>
  </si>
  <si>
    <t>T-Shirt</t>
  </si>
  <si>
    <t>Cash</t>
  </si>
  <si>
    <t>ORD005</t>
  </si>
  <si>
    <t>Study Table</t>
  </si>
  <si>
    <t>ORD006</t>
  </si>
  <si>
    <t>Chennai</t>
  </si>
  <si>
    <t>Jeans</t>
  </si>
  <si>
    <t>ORD007</t>
  </si>
  <si>
    <t>Pune</t>
  </si>
  <si>
    <t>Monitor</t>
  </si>
  <si>
    <t>Debit Card</t>
  </si>
  <si>
    <t>ORD008</t>
  </si>
  <si>
    <t>Jacket</t>
  </si>
  <si>
    <t>ORD009</t>
  </si>
  <si>
    <t>Jaipur</t>
  </si>
  <si>
    <t>Mouse</t>
  </si>
  <si>
    <t>ORD010</t>
  </si>
  <si>
    <t>Bookshelf</t>
  </si>
  <si>
    <t>ORD011</t>
  </si>
  <si>
    <t>Shoes</t>
  </si>
  <si>
    <t>ORD012</t>
  </si>
  <si>
    <t>Bhubaneswar</t>
  </si>
  <si>
    <t>Tablet</t>
  </si>
  <si>
    <t>ORD013</t>
  </si>
  <si>
    <t>Shirt</t>
  </si>
  <si>
    <t>ORD014</t>
  </si>
  <si>
    <t>Hyderabad</t>
  </si>
  <si>
    <t>Smartwatch</t>
  </si>
  <si>
    <t>ORD015</t>
  </si>
  <si>
    <t>Sofa</t>
  </si>
  <si>
    <t>ORD016</t>
  </si>
  <si>
    <t>Dress</t>
  </si>
  <si>
    <t>ORD017</t>
  </si>
  <si>
    <t>Speaker</t>
  </si>
  <si>
    <t>ORD018</t>
  </si>
  <si>
    <t>ORD019</t>
  </si>
  <si>
    <t>Office Desk</t>
  </si>
  <si>
    <t>ORD020</t>
  </si>
  <si>
    <t>Laptop</t>
  </si>
  <si>
    <t>ORD021</t>
  </si>
  <si>
    <t>ORD022</t>
  </si>
  <si>
    <t>ORD023</t>
  </si>
  <si>
    <t>ORD024</t>
  </si>
  <si>
    <t>Sum of Sales</t>
  </si>
  <si>
    <t>Row Labels</t>
  </si>
  <si>
    <t>Grand Total</t>
  </si>
  <si>
    <t>Jan</t>
  </si>
  <si>
    <t>Feb</t>
  </si>
  <si>
    <t>Mar</t>
  </si>
  <si>
    <t>Apr</t>
  </si>
  <si>
    <t>May</t>
  </si>
  <si>
    <t>Jun</t>
  </si>
  <si>
    <t>Sum of Profit</t>
  </si>
  <si>
    <t>Count of Order_ID</t>
  </si>
  <si>
    <t>Count of Orders</t>
  </si>
  <si>
    <t>Sum of Quantity</t>
  </si>
  <si>
    <t>Average Value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</si>
</sst>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rgb="FFFFFFFF"/>
      <name val="Arial"/>
    </font>
    <font>
      <sz val="11"/>
      <name val="Arial"/>
    </font>
    <font>
      <sz val="11"/>
      <color theme="0"/>
      <name val="Calibri"/>
      <family val="2"/>
      <scheme val="minor"/>
    </font>
    <font>
      <sz val="11"/>
      <color theme="3"/>
      <name val="Calibri"/>
      <family val="2"/>
      <scheme val="minor"/>
    </font>
    <font>
      <sz val="11"/>
      <color theme="2"/>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theme="3"/>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xf>
    <xf numFmtId="0" fontId="2" fillId="0" borderId="1" xfId="0" applyFont="1" applyBorder="1"/>
    <xf numFmtId="3" fontId="2" fillId="0" borderId="1" xfId="0" applyNumberFormat="1" applyFont="1" applyBorder="1"/>
    <xf numFmtId="9" fontId="2" fillId="0" borderId="1" xfId="0" applyNumberFormat="1" applyFont="1" applyBorder="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14" fontId="2" fillId="0" borderId="1" xfId="0" applyNumberFormat="1" applyFont="1" applyBorder="1"/>
    <xf numFmtId="0" fontId="4" fillId="3" borderId="0" xfId="0" applyFont="1" applyFill="1"/>
    <xf numFmtId="0" fontId="0" fillId="4" borderId="0" xfId="0" applyFill="1"/>
    <xf numFmtId="0" fontId="0" fillId="3" borderId="0" xfId="0" applyFill="1"/>
    <xf numFmtId="0" fontId="5" fillId="0" borderId="0" xfId="0" applyFont="1"/>
    <xf numFmtId="0" fontId="5" fillId="4" borderId="0" xfId="0" applyFont="1" applyFill="1"/>
    <xf numFmtId="0" fontId="0" fillId="0" borderId="1" xfId="0" applyBorder="1"/>
    <xf numFmtId="3" fontId="0" fillId="0" borderId="1" xfId="0" applyNumberFormat="1" applyBorder="1"/>
    <xf numFmtId="0" fontId="0" fillId="0" borderId="1" xfId="0" applyNumberFormat="1" applyBorder="1"/>
    <xf numFmtId="0" fontId="0" fillId="5" borderId="0" xfId="0" applyFill="1"/>
    <xf numFmtId="0" fontId="3" fillId="5" borderId="0" xfId="0" applyFont="1" applyFill="1"/>
  </cellXfs>
  <cellStyles count="1">
    <cellStyle name="Normal" xfId="0" builtinId="0"/>
  </cellStyles>
  <dxfs count="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s>
  <tableStyles count="3" defaultTableStyle="TableStyleMedium9" defaultPivotStyle="PivotStyleLight16">
    <tableStyle name="SlicerStyleDark1 2" pivot="0" table="0" count="10" xr9:uid="{42BDD6D2-C9EC-488F-891B-B520E5DDEF8F}">
      <tableStyleElement type="wholeTable" dxfId="4"/>
      <tableStyleElement type="headerRow" dxfId="3"/>
    </tableStyle>
    <tableStyle name="TimeSlicerStyleDark1 2" pivot="0" table="0" count="9" xr9:uid="{4AE0FE3E-5046-4D40-8AB1-15C096A6B705}">
      <tableStyleElement type="wholeTable" dxfId="6"/>
      <tableStyleElement type="headerRow" dxfId="5"/>
    </tableStyle>
    <tableStyle name="TimeSlicerStyleLight1 2" pivot="0" table="0" count="9" xr9:uid="{D6BAA89F-3351-4046-85AC-90EA344D5FAA}">
      <tableStyleElement type="wholeTable" dxfId="8"/>
      <tableStyleElement type="headerRow" dxfId="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[Sales_Dashboard_Excel.xlsx]Profit by category!PivotTable8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0695990587382"/>
          <c:y val="0.10752688172043011"/>
          <c:w val="0.75625395963435604"/>
          <c:h val="0.77017293201253068"/>
        </c:manualLayout>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Clothing</c:v>
                </c:pt>
                <c:pt idx="1">
                  <c:v>Electronics</c:v>
                </c:pt>
                <c:pt idx="2">
                  <c:v>Furniture</c:v>
                </c:pt>
              </c:strCache>
            </c:strRef>
          </c:cat>
          <c:val>
            <c:numRef>
              <c:f>'Profit by category'!$B$4:$B$7</c:f>
              <c:numCache>
                <c:formatCode>#,##0</c:formatCode>
                <c:ptCount val="3"/>
                <c:pt idx="0">
                  <c:v>4025</c:v>
                </c:pt>
                <c:pt idx="1">
                  <c:v>15189</c:v>
                </c:pt>
                <c:pt idx="2">
                  <c:v>6475</c:v>
                </c:pt>
              </c:numCache>
            </c:numRef>
          </c:val>
          <c:extLst>
            <c:ext xmlns:c16="http://schemas.microsoft.com/office/drawing/2014/chart" uri="{C3380CC4-5D6E-409C-BE32-E72D297353CC}">
              <c16:uniqueId val="{00000000-392C-4EE4-83B5-11D397674313}"/>
            </c:ext>
          </c:extLst>
        </c:ser>
        <c:dLbls>
          <c:dLblPos val="outEnd"/>
          <c:showLegendKey val="0"/>
          <c:showVal val="1"/>
          <c:showCatName val="0"/>
          <c:showSerName val="0"/>
          <c:showPercent val="0"/>
          <c:showBubbleSize val="0"/>
        </c:dLbls>
        <c:gapWidth val="219"/>
        <c:overlap val="-27"/>
        <c:axId val="1838544416"/>
        <c:axId val="1849610800"/>
      </c:barChart>
      <c:catAx>
        <c:axId val="183854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10800"/>
        <c:crosses val="autoZero"/>
        <c:auto val="1"/>
        <c:lblAlgn val="ctr"/>
        <c:lblOffset val="100"/>
        <c:noMultiLvlLbl val="0"/>
      </c:catAx>
      <c:valAx>
        <c:axId val="184961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4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by Category!PivotTable7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Clothing</c:v>
                </c:pt>
                <c:pt idx="1">
                  <c:v>Electronics</c:v>
                </c:pt>
                <c:pt idx="2">
                  <c:v>Furniture</c:v>
                </c:pt>
              </c:strCache>
            </c:strRef>
          </c:cat>
          <c:val>
            <c:numRef>
              <c:f>'Sales by Category'!$B$4:$B$7</c:f>
              <c:numCache>
                <c:formatCode>#,##0</c:formatCode>
                <c:ptCount val="3"/>
                <c:pt idx="0">
                  <c:v>31300</c:v>
                </c:pt>
                <c:pt idx="1">
                  <c:v>122400</c:v>
                </c:pt>
                <c:pt idx="2">
                  <c:v>70400</c:v>
                </c:pt>
              </c:numCache>
            </c:numRef>
          </c:val>
          <c:extLst>
            <c:ext xmlns:c16="http://schemas.microsoft.com/office/drawing/2014/chart" uri="{C3380CC4-5D6E-409C-BE32-E72D297353CC}">
              <c16:uniqueId val="{00000000-5669-4055-BD4F-792695522069}"/>
            </c:ext>
          </c:extLst>
        </c:ser>
        <c:dLbls>
          <c:dLblPos val="outEnd"/>
          <c:showLegendKey val="0"/>
          <c:showVal val="1"/>
          <c:showCatName val="0"/>
          <c:showSerName val="0"/>
          <c:showPercent val="0"/>
          <c:showBubbleSize val="0"/>
        </c:dLbls>
        <c:gapWidth val="219"/>
        <c:overlap val="-27"/>
        <c:axId val="1838542096"/>
        <c:axId val="1849536880"/>
      </c:barChart>
      <c:catAx>
        <c:axId val="18385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6880"/>
        <c:crosses val="autoZero"/>
        <c:auto val="1"/>
        <c:lblAlgn val="ctr"/>
        <c:lblOffset val="100"/>
        <c:noMultiLvlLbl val="0"/>
      </c:catAx>
      <c:valAx>
        <c:axId val="1849536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by region!PivotTable3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4015996227423"/>
          <c:y val="8.1135902636916835E-2"/>
          <c:w val="0.77265873680683528"/>
          <c:h val="0.7687743900166637"/>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c:formatCode>
                <c:ptCount val="4"/>
                <c:pt idx="0">
                  <c:v>92700</c:v>
                </c:pt>
                <c:pt idx="1">
                  <c:v>28400</c:v>
                </c:pt>
                <c:pt idx="2">
                  <c:v>44400</c:v>
                </c:pt>
                <c:pt idx="3">
                  <c:v>58600</c:v>
                </c:pt>
              </c:numCache>
            </c:numRef>
          </c:val>
          <c:extLst>
            <c:ext xmlns:c16="http://schemas.microsoft.com/office/drawing/2014/chart" uri="{C3380CC4-5D6E-409C-BE32-E72D297353CC}">
              <c16:uniqueId val="{00000000-3451-407E-862A-132CD1FF8E3D}"/>
            </c:ext>
          </c:extLst>
        </c:ser>
        <c:dLbls>
          <c:dLblPos val="outEnd"/>
          <c:showLegendKey val="0"/>
          <c:showVal val="1"/>
          <c:showCatName val="0"/>
          <c:showSerName val="0"/>
          <c:showPercent val="0"/>
          <c:showBubbleSize val="0"/>
        </c:dLbls>
        <c:gapWidth val="219"/>
        <c:overlap val="-27"/>
        <c:axId val="1846537472"/>
        <c:axId val="1695561552"/>
      </c:barChart>
      <c:catAx>
        <c:axId val="18465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61552"/>
        <c:crosses val="autoZero"/>
        <c:auto val="1"/>
        <c:lblAlgn val="ctr"/>
        <c:lblOffset val="100"/>
        <c:noMultiLvlLbl val="0"/>
      </c:catAx>
      <c:valAx>
        <c:axId val="1695561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53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[Sales_Dashboard_Excel.xlsx]Monthly Sales trend!PivotTable6</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trend'!$A$4:$A$10</c:f>
              <c:strCache>
                <c:ptCount val="6"/>
                <c:pt idx="0">
                  <c:v>Jan</c:v>
                </c:pt>
                <c:pt idx="1">
                  <c:v>Feb</c:v>
                </c:pt>
                <c:pt idx="2">
                  <c:v>Mar</c:v>
                </c:pt>
                <c:pt idx="3">
                  <c:v>Apr</c:v>
                </c:pt>
                <c:pt idx="4">
                  <c:v>May</c:v>
                </c:pt>
                <c:pt idx="5">
                  <c:v>Jun</c:v>
                </c:pt>
              </c:strCache>
            </c:strRef>
          </c:cat>
          <c:val>
            <c:numRef>
              <c:f>'Monthly Sales trend'!$B$4:$B$10</c:f>
              <c:numCache>
                <c:formatCode>#,##0</c:formatCode>
                <c:ptCount val="6"/>
                <c:pt idx="0">
                  <c:v>17000</c:v>
                </c:pt>
                <c:pt idx="1">
                  <c:v>28500</c:v>
                </c:pt>
                <c:pt idx="2">
                  <c:v>30800</c:v>
                </c:pt>
                <c:pt idx="3">
                  <c:v>38400</c:v>
                </c:pt>
                <c:pt idx="4">
                  <c:v>76100</c:v>
                </c:pt>
                <c:pt idx="5">
                  <c:v>33300</c:v>
                </c:pt>
              </c:numCache>
            </c:numRef>
          </c:val>
          <c:smooth val="1"/>
          <c:extLst>
            <c:ext xmlns:c16="http://schemas.microsoft.com/office/drawing/2014/chart" uri="{C3380CC4-5D6E-409C-BE32-E72D297353CC}">
              <c16:uniqueId val="{00000000-33D3-46DD-80DC-41777B06F4DE}"/>
            </c:ext>
          </c:extLst>
        </c:ser>
        <c:dLbls>
          <c:dLblPos val="t"/>
          <c:showLegendKey val="0"/>
          <c:showVal val="1"/>
          <c:showCatName val="0"/>
          <c:showSerName val="0"/>
          <c:showPercent val="0"/>
          <c:showBubbleSize val="0"/>
        </c:dLbls>
        <c:marker val="1"/>
        <c:smooth val="0"/>
        <c:axId val="1838552304"/>
        <c:axId val="1695646992"/>
      </c:lineChart>
      <c:catAx>
        <c:axId val="183855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46992"/>
        <c:crosses val="autoZero"/>
        <c:auto val="1"/>
        <c:lblAlgn val="ctr"/>
        <c:lblOffset val="100"/>
        <c:noMultiLvlLbl val="0"/>
      </c:catAx>
      <c:valAx>
        <c:axId val="16956469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[Sales_Dashboard_Excel.xlsx]Payment mode distri!PivotTable9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mode distri'!$B$3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mode distri'!$A$4:$A$8</c:f>
              <c:strCache>
                <c:ptCount val="4"/>
                <c:pt idx="0">
                  <c:v>Cash</c:v>
                </c:pt>
                <c:pt idx="1">
                  <c:v>Credit Card</c:v>
                </c:pt>
                <c:pt idx="2">
                  <c:v>Debit Card</c:v>
                </c:pt>
                <c:pt idx="3">
                  <c:v>UPI</c:v>
                </c:pt>
              </c:strCache>
            </c:strRef>
          </c:cat>
          <c:val>
            <c:numRef>
              <c:f>'Payment mode distri'!$B$4:$B$8</c:f>
              <c:numCache>
                <c:formatCode>General</c:formatCode>
                <c:ptCount val="4"/>
                <c:pt idx="0">
                  <c:v>3</c:v>
                </c:pt>
                <c:pt idx="1">
                  <c:v>8</c:v>
                </c:pt>
                <c:pt idx="2">
                  <c:v>4</c:v>
                </c:pt>
                <c:pt idx="3">
                  <c:v>9</c:v>
                </c:pt>
              </c:numCache>
            </c:numRef>
          </c:val>
          <c:extLst>
            <c:ext xmlns:c16="http://schemas.microsoft.com/office/drawing/2014/chart" uri="{C3380CC4-5D6E-409C-BE32-E72D297353CC}">
              <c16:uniqueId val="{00000000-11CF-4E04-B62C-0AF6E22E93AB}"/>
            </c:ext>
          </c:extLst>
        </c:ser>
        <c:dLbls>
          <c:dLblPos val="outEnd"/>
          <c:showLegendKey val="0"/>
          <c:showVal val="1"/>
          <c:showCatName val="0"/>
          <c:showSerName val="0"/>
          <c:showPercent val="0"/>
          <c:showBubbleSize val="0"/>
        </c:dLbls>
        <c:gapWidth val="182"/>
        <c:axId val="1947302352"/>
        <c:axId val="1849566160"/>
      </c:barChart>
      <c:catAx>
        <c:axId val="19473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66160"/>
        <c:crosses val="autoZero"/>
        <c:auto val="1"/>
        <c:lblAlgn val="ctr"/>
        <c:lblOffset val="100"/>
        <c:noMultiLvlLbl val="0"/>
      </c:catAx>
      <c:valAx>
        <c:axId val="1849566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by Category!PivotTable7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Clothing</c:v>
                </c:pt>
                <c:pt idx="1">
                  <c:v>Electronics</c:v>
                </c:pt>
                <c:pt idx="2">
                  <c:v>Furniture</c:v>
                </c:pt>
              </c:strCache>
            </c:strRef>
          </c:cat>
          <c:val>
            <c:numRef>
              <c:f>'Sales by Category'!$B$4:$B$7</c:f>
              <c:numCache>
                <c:formatCode>#,##0</c:formatCode>
                <c:ptCount val="3"/>
                <c:pt idx="0">
                  <c:v>31300</c:v>
                </c:pt>
                <c:pt idx="1">
                  <c:v>122400</c:v>
                </c:pt>
                <c:pt idx="2">
                  <c:v>70400</c:v>
                </c:pt>
              </c:numCache>
            </c:numRef>
          </c:val>
          <c:extLst>
            <c:ext xmlns:c16="http://schemas.microsoft.com/office/drawing/2014/chart" uri="{C3380CC4-5D6E-409C-BE32-E72D297353CC}">
              <c16:uniqueId val="{00000000-4BE1-4710-A89E-5A4AEC206833}"/>
            </c:ext>
          </c:extLst>
        </c:ser>
        <c:dLbls>
          <c:dLblPos val="outEnd"/>
          <c:showLegendKey val="0"/>
          <c:showVal val="1"/>
          <c:showCatName val="0"/>
          <c:showSerName val="0"/>
          <c:showPercent val="0"/>
          <c:showBubbleSize val="0"/>
        </c:dLbls>
        <c:gapWidth val="219"/>
        <c:overlap val="-27"/>
        <c:axId val="1838542096"/>
        <c:axId val="1849536880"/>
      </c:barChart>
      <c:catAx>
        <c:axId val="18385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36880"/>
        <c:crosses val="autoZero"/>
        <c:auto val="1"/>
        <c:lblAlgn val="ctr"/>
        <c:lblOffset val="100"/>
        <c:noMultiLvlLbl val="0"/>
      </c:catAx>
      <c:valAx>
        <c:axId val="1849536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[Sales_Dashboard_Excel.xlsx]Profit by category!PivotTable8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Clothing</c:v>
                </c:pt>
                <c:pt idx="1">
                  <c:v>Electronics</c:v>
                </c:pt>
                <c:pt idx="2">
                  <c:v>Furniture</c:v>
                </c:pt>
              </c:strCache>
            </c:strRef>
          </c:cat>
          <c:val>
            <c:numRef>
              <c:f>'Profit by category'!$B$4:$B$7</c:f>
              <c:numCache>
                <c:formatCode>#,##0</c:formatCode>
                <c:ptCount val="3"/>
                <c:pt idx="0">
                  <c:v>4025</c:v>
                </c:pt>
                <c:pt idx="1">
                  <c:v>15189</c:v>
                </c:pt>
                <c:pt idx="2">
                  <c:v>6475</c:v>
                </c:pt>
              </c:numCache>
            </c:numRef>
          </c:val>
          <c:extLst>
            <c:ext xmlns:c16="http://schemas.microsoft.com/office/drawing/2014/chart" uri="{C3380CC4-5D6E-409C-BE32-E72D297353CC}">
              <c16:uniqueId val="{00000000-E34B-4C5C-90FA-126A34A736B6}"/>
            </c:ext>
          </c:extLst>
        </c:ser>
        <c:dLbls>
          <c:dLblPos val="outEnd"/>
          <c:showLegendKey val="0"/>
          <c:showVal val="1"/>
          <c:showCatName val="0"/>
          <c:showSerName val="0"/>
          <c:showPercent val="0"/>
          <c:showBubbleSize val="0"/>
        </c:dLbls>
        <c:gapWidth val="219"/>
        <c:overlap val="-27"/>
        <c:axId val="1838544416"/>
        <c:axId val="1849610800"/>
      </c:barChart>
      <c:catAx>
        <c:axId val="183854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10800"/>
        <c:crosses val="autoZero"/>
        <c:auto val="1"/>
        <c:lblAlgn val="ctr"/>
        <c:lblOffset val="100"/>
        <c:noMultiLvlLbl val="0"/>
      </c:catAx>
      <c:valAx>
        <c:axId val="1849610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4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[Sales_Dashboard_Excel.xlsx]Payment mode distri!PivotTable9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mode distri'!$B$3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mode distri'!$A$4:$A$8</c:f>
              <c:strCache>
                <c:ptCount val="4"/>
                <c:pt idx="0">
                  <c:v>Cash</c:v>
                </c:pt>
                <c:pt idx="1">
                  <c:v>Credit Card</c:v>
                </c:pt>
                <c:pt idx="2">
                  <c:v>Debit Card</c:v>
                </c:pt>
                <c:pt idx="3">
                  <c:v>UPI</c:v>
                </c:pt>
              </c:strCache>
            </c:strRef>
          </c:cat>
          <c:val>
            <c:numRef>
              <c:f>'Payment mode distri'!$B$4:$B$8</c:f>
              <c:numCache>
                <c:formatCode>General</c:formatCode>
                <c:ptCount val="4"/>
                <c:pt idx="0">
                  <c:v>3</c:v>
                </c:pt>
                <c:pt idx="1">
                  <c:v>8</c:v>
                </c:pt>
                <c:pt idx="2">
                  <c:v>4</c:v>
                </c:pt>
                <c:pt idx="3">
                  <c:v>9</c:v>
                </c:pt>
              </c:numCache>
            </c:numRef>
          </c:val>
          <c:extLst>
            <c:ext xmlns:c16="http://schemas.microsoft.com/office/drawing/2014/chart" uri="{C3380CC4-5D6E-409C-BE32-E72D297353CC}">
              <c16:uniqueId val="{00000000-8F19-41EF-8BB9-893BD59775EB}"/>
            </c:ext>
          </c:extLst>
        </c:ser>
        <c:dLbls>
          <c:dLblPos val="outEnd"/>
          <c:showLegendKey val="0"/>
          <c:showVal val="1"/>
          <c:showCatName val="0"/>
          <c:showSerName val="0"/>
          <c:showPercent val="0"/>
          <c:showBubbleSize val="0"/>
        </c:dLbls>
        <c:gapWidth val="182"/>
        <c:axId val="1947302352"/>
        <c:axId val="1849566160"/>
      </c:barChart>
      <c:catAx>
        <c:axId val="19473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566160"/>
        <c:crosses val="autoZero"/>
        <c:auto val="1"/>
        <c:lblAlgn val="ctr"/>
        <c:lblOffset val="100"/>
        <c:noMultiLvlLbl val="0"/>
      </c:catAx>
      <c:valAx>
        <c:axId val="1849566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[Sales_Dashboard_Excel.xlsx]Monthly Sales trend!PivotTable6</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trend'!$A$4:$A$10</c:f>
              <c:strCache>
                <c:ptCount val="6"/>
                <c:pt idx="0">
                  <c:v>Jan</c:v>
                </c:pt>
                <c:pt idx="1">
                  <c:v>Feb</c:v>
                </c:pt>
                <c:pt idx="2">
                  <c:v>Mar</c:v>
                </c:pt>
                <c:pt idx="3">
                  <c:v>Apr</c:v>
                </c:pt>
                <c:pt idx="4">
                  <c:v>May</c:v>
                </c:pt>
                <c:pt idx="5">
                  <c:v>Jun</c:v>
                </c:pt>
              </c:strCache>
            </c:strRef>
          </c:cat>
          <c:val>
            <c:numRef>
              <c:f>'Monthly Sales trend'!$B$4:$B$10</c:f>
              <c:numCache>
                <c:formatCode>#,##0</c:formatCode>
                <c:ptCount val="6"/>
                <c:pt idx="0">
                  <c:v>17000</c:v>
                </c:pt>
                <c:pt idx="1">
                  <c:v>28500</c:v>
                </c:pt>
                <c:pt idx="2">
                  <c:v>30800</c:v>
                </c:pt>
                <c:pt idx="3">
                  <c:v>38400</c:v>
                </c:pt>
                <c:pt idx="4">
                  <c:v>76100</c:v>
                </c:pt>
                <c:pt idx="5">
                  <c:v>33300</c:v>
                </c:pt>
              </c:numCache>
            </c:numRef>
          </c:val>
          <c:smooth val="1"/>
          <c:extLst>
            <c:ext xmlns:c16="http://schemas.microsoft.com/office/drawing/2014/chart" uri="{C3380CC4-5D6E-409C-BE32-E72D297353CC}">
              <c16:uniqueId val="{00000000-BB08-45B8-B9B1-3D8C30E5A82A}"/>
            </c:ext>
          </c:extLst>
        </c:ser>
        <c:dLbls>
          <c:dLblPos val="t"/>
          <c:showLegendKey val="0"/>
          <c:showVal val="1"/>
          <c:showCatName val="0"/>
          <c:showSerName val="0"/>
          <c:showPercent val="0"/>
          <c:showBubbleSize val="0"/>
        </c:dLbls>
        <c:marker val="1"/>
        <c:smooth val="0"/>
        <c:axId val="1838552304"/>
        <c:axId val="1695646992"/>
      </c:lineChart>
      <c:catAx>
        <c:axId val="183855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646992"/>
        <c:crosses val="autoZero"/>
        <c:auto val="1"/>
        <c:lblAlgn val="ctr"/>
        <c:lblOffset val="100"/>
        <c:noMultiLvlLbl val="0"/>
      </c:catAx>
      <c:valAx>
        <c:axId val="16956469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[Sales_Dashboard_Excel.xlsx]Sales by region!PivotTable3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#,##0</c:formatCode>
                <c:ptCount val="4"/>
                <c:pt idx="0">
                  <c:v>92700</c:v>
                </c:pt>
                <c:pt idx="1">
                  <c:v>28400</c:v>
                </c:pt>
                <c:pt idx="2">
                  <c:v>44400</c:v>
                </c:pt>
                <c:pt idx="3">
                  <c:v>58600</c:v>
                </c:pt>
              </c:numCache>
            </c:numRef>
          </c:val>
          <c:extLst>
            <c:ext xmlns:c16="http://schemas.microsoft.com/office/drawing/2014/chart" uri="{C3380CC4-5D6E-409C-BE32-E72D297353CC}">
              <c16:uniqueId val="{00000000-B637-4967-B2E5-642D34421E0F}"/>
            </c:ext>
          </c:extLst>
        </c:ser>
        <c:dLbls>
          <c:dLblPos val="outEnd"/>
          <c:showLegendKey val="0"/>
          <c:showVal val="1"/>
          <c:showCatName val="0"/>
          <c:showSerName val="0"/>
          <c:showPercent val="0"/>
          <c:showBubbleSize val="0"/>
        </c:dLbls>
        <c:gapWidth val="219"/>
        <c:overlap val="-27"/>
        <c:axId val="1846537472"/>
        <c:axId val="1695561552"/>
      </c:barChart>
      <c:catAx>
        <c:axId val="18465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561552"/>
        <c:crosses val="autoZero"/>
        <c:auto val="1"/>
        <c:lblAlgn val="ctr"/>
        <c:lblOffset val="100"/>
        <c:noMultiLvlLbl val="0"/>
      </c:catAx>
      <c:valAx>
        <c:axId val="1695561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53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mailto:shakshijalan2004@gmail.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ales Data'!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144780</xdr:colOff>
      <xdr:row>0</xdr:row>
      <xdr:rowOff>91440</xdr:rowOff>
    </xdr:from>
    <xdr:to>
      <xdr:col>17</xdr:col>
      <xdr:colOff>358140</xdr:colOff>
      <xdr:row>4</xdr:row>
      <xdr:rowOff>167640</xdr:rowOff>
    </xdr:to>
    <xdr:sp macro="" textlink="">
      <xdr:nvSpPr>
        <xdr:cNvPr id="2" name="Rectangle: Rounded Corners 1">
          <a:extLst>
            <a:ext uri="{FF2B5EF4-FFF2-40B4-BE49-F238E27FC236}">
              <a16:creationId xmlns:a16="http://schemas.microsoft.com/office/drawing/2014/main" id="{20D84CD9-7857-892F-E64D-359C087EEF3E}"/>
            </a:ext>
          </a:extLst>
        </xdr:cNvPr>
        <xdr:cNvSpPr/>
      </xdr:nvSpPr>
      <xdr:spPr>
        <a:xfrm>
          <a:off x="1973580" y="91440"/>
          <a:ext cx="8747760" cy="8077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2"/>
              </a:solidFill>
              <a:latin typeface="Arial Black" panose="020B0A04020102020204" pitchFamily="34" charset="0"/>
            </a:rPr>
            <a:t>Sales Dashboard</a:t>
          </a:r>
        </a:p>
        <a:p>
          <a:pPr algn="l"/>
          <a:r>
            <a:rPr lang="en-IN" sz="1050" b="0" i="0">
              <a:solidFill>
                <a:schemeClr val="tx1"/>
              </a:solidFill>
              <a:latin typeface="+mj-lt"/>
            </a:rPr>
            <a:t>All Figures</a:t>
          </a:r>
          <a:r>
            <a:rPr lang="en-IN" sz="1050" b="0" i="0" baseline="0">
              <a:solidFill>
                <a:schemeClr val="tx1"/>
              </a:solidFill>
              <a:latin typeface="+mj-lt"/>
            </a:rPr>
            <a:t> in Indian Rupees</a:t>
          </a:r>
          <a:endParaRPr lang="en-IN" sz="1050" b="0" i="0">
            <a:solidFill>
              <a:schemeClr val="tx1"/>
            </a:solidFill>
            <a:latin typeface="+mj-lt"/>
          </a:endParaRPr>
        </a:p>
      </xdr:txBody>
    </xdr:sp>
    <xdr:clientData/>
  </xdr:twoCellAnchor>
  <xdr:twoCellAnchor>
    <xdr:from>
      <xdr:col>3</xdr:col>
      <xdr:colOff>182880</xdr:colOff>
      <xdr:row>5</xdr:row>
      <xdr:rowOff>121920</xdr:rowOff>
    </xdr:from>
    <xdr:to>
      <xdr:col>5</xdr:col>
      <xdr:colOff>556260</xdr:colOff>
      <xdr:row>10</xdr:row>
      <xdr:rowOff>60960</xdr:rowOff>
    </xdr:to>
    <xdr:sp macro="" textlink="">
      <xdr:nvSpPr>
        <xdr:cNvPr id="3" name="Rectangle: Rounded Corners 2">
          <a:extLst>
            <a:ext uri="{FF2B5EF4-FFF2-40B4-BE49-F238E27FC236}">
              <a16:creationId xmlns:a16="http://schemas.microsoft.com/office/drawing/2014/main" id="{63541CEE-2FA3-5049-7C73-E166E79C4F11}"/>
            </a:ext>
          </a:extLst>
        </xdr:cNvPr>
        <xdr:cNvSpPr/>
      </xdr:nvSpPr>
      <xdr:spPr>
        <a:xfrm>
          <a:off x="2011680" y="1036320"/>
          <a:ext cx="15925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2"/>
              </a:solidFill>
              <a:latin typeface="Arial Black" panose="020B0A04020102020204" pitchFamily="34" charset="0"/>
            </a:rPr>
            <a:t>Total Sales</a:t>
          </a:r>
        </a:p>
        <a:p>
          <a:pPr algn="ctr"/>
          <a:endParaRPr lang="en-IN" sz="1100">
            <a:solidFill>
              <a:schemeClr val="tx2"/>
            </a:solidFill>
            <a:latin typeface="Arial Black" panose="020B0A04020102020204" pitchFamily="34" charset="0"/>
          </a:endParaRPr>
        </a:p>
        <a:p>
          <a:pPr algn="ctr"/>
          <a:endParaRPr lang="en-IN" sz="1100">
            <a:solidFill>
              <a:schemeClr val="tx2"/>
            </a:solidFill>
            <a:latin typeface="Arial Black" panose="020B0A04020102020204" pitchFamily="34" charset="0"/>
          </a:endParaRPr>
        </a:p>
      </xdr:txBody>
    </xdr:sp>
    <xdr:clientData/>
  </xdr:twoCellAnchor>
  <xdr:twoCellAnchor>
    <xdr:from>
      <xdr:col>6</xdr:col>
      <xdr:colOff>129540</xdr:colOff>
      <xdr:row>5</xdr:row>
      <xdr:rowOff>114300</xdr:rowOff>
    </xdr:from>
    <xdr:to>
      <xdr:col>8</xdr:col>
      <xdr:colOff>502920</xdr:colOff>
      <xdr:row>10</xdr:row>
      <xdr:rowOff>53340</xdr:rowOff>
    </xdr:to>
    <xdr:sp macro="" textlink="">
      <xdr:nvSpPr>
        <xdr:cNvPr id="4" name="Rectangle: Rounded Corners 3">
          <a:extLst>
            <a:ext uri="{FF2B5EF4-FFF2-40B4-BE49-F238E27FC236}">
              <a16:creationId xmlns:a16="http://schemas.microsoft.com/office/drawing/2014/main" id="{1FE2B7AE-7145-4D6A-AFC4-48C191F571B3}"/>
            </a:ext>
          </a:extLst>
        </xdr:cNvPr>
        <xdr:cNvSpPr/>
      </xdr:nvSpPr>
      <xdr:spPr>
        <a:xfrm>
          <a:off x="3787140" y="1028700"/>
          <a:ext cx="15925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2"/>
              </a:solidFill>
              <a:latin typeface="Arial Black" panose="020B0A04020102020204" pitchFamily="34" charset="0"/>
            </a:rPr>
            <a:t>Toal Profits</a:t>
          </a:r>
        </a:p>
      </xdr:txBody>
    </xdr:sp>
    <xdr:clientData/>
  </xdr:twoCellAnchor>
  <xdr:twoCellAnchor>
    <xdr:from>
      <xdr:col>9</xdr:col>
      <xdr:colOff>76200</xdr:colOff>
      <xdr:row>5</xdr:row>
      <xdr:rowOff>114300</xdr:rowOff>
    </xdr:from>
    <xdr:to>
      <xdr:col>11</xdr:col>
      <xdr:colOff>449580</xdr:colOff>
      <xdr:row>10</xdr:row>
      <xdr:rowOff>53340</xdr:rowOff>
    </xdr:to>
    <xdr:sp macro="" textlink="">
      <xdr:nvSpPr>
        <xdr:cNvPr id="5" name="Rectangle: Rounded Corners 4">
          <a:extLst>
            <a:ext uri="{FF2B5EF4-FFF2-40B4-BE49-F238E27FC236}">
              <a16:creationId xmlns:a16="http://schemas.microsoft.com/office/drawing/2014/main" id="{9D59B829-816B-4804-BFC4-23EA9A98B9BA}"/>
            </a:ext>
          </a:extLst>
        </xdr:cNvPr>
        <xdr:cNvSpPr/>
      </xdr:nvSpPr>
      <xdr:spPr>
        <a:xfrm>
          <a:off x="5562600" y="1028700"/>
          <a:ext cx="15925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solidFill>
                <a:schemeClr val="tx2"/>
              </a:solidFill>
              <a:latin typeface="Arial Black" panose="020B0A04020102020204" pitchFamily="34" charset="0"/>
            </a:rPr>
            <a:t>Total </a:t>
          </a:r>
          <a:r>
            <a:rPr lang="en-IN" sz="1100">
              <a:solidFill>
                <a:schemeClr val="tx2"/>
              </a:solidFill>
              <a:latin typeface="Arial Black" panose="020B0A04020102020204" pitchFamily="34" charset="0"/>
              <a:ea typeface="+mn-ea"/>
              <a:cs typeface="+mn-cs"/>
            </a:rPr>
            <a:t>Orders</a:t>
          </a:r>
        </a:p>
      </xdr:txBody>
    </xdr:sp>
    <xdr:clientData/>
  </xdr:twoCellAnchor>
  <xdr:twoCellAnchor>
    <xdr:from>
      <xdr:col>12</xdr:col>
      <xdr:colOff>0</xdr:colOff>
      <xdr:row>5</xdr:row>
      <xdr:rowOff>121920</xdr:rowOff>
    </xdr:from>
    <xdr:to>
      <xdr:col>14</xdr:col>
      <xdr:colOff>510540</xdr:colOff>
      <xdr:row>10</xdr:row>
      <xdr:rowOff>60960</xdr:rowOff>
    </xdr:to>
    <xdr:sp macro="" textlink="">
      <xdr:nvSpPr>
        <xdr:cNvPr id="6" name="Rectangle: Rounded Corners 5">
          <a:extLst>
            <a:ext uri="{FF2B5EF4-FFF2-40B4-BE49-F238E27FC236}">
              <a16:creationId xmlns:a16="http://schemas.microsoft.com/office/drawing/2014/main" id="{5F798EF7-4826-4DC9-9FA8-0E19F51C8359}"/>
            </a:ext>
          </a:extLst>
        </xdr:cNvPr>
        <xdr:cNvSpPr/>
      </xdr:nvSpPr>
      <xdr:spPr>
        <a:xfrm>
          <a:off x="7315200" y="1036320"/>
          <a:ext cx="172974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latin typeface="Arial Black" panose="020B0A04020102020204" pitchFamily="34" charset="0"/>
            </a:rPr>
            <a:t>Total Quanity Sold</a:t>
          </a:r>
        </a:p>
      </xdr:txBody>
    </xdr:sp>
    <xdr:clientData/>
  </xdr:twoCellAnchor>
  <xdr:twoCellAnchor>
    <xdr:from>
      <xdr:col>15</xdr:col>
      <xdr:colOff>91440</xdr:colOff>
      <xdr:row>5</xdr:row>
      <xdr:rowOff>121920</xdr:rowOff>
    </xdr:from>
    <xdr:to>
      <xdr:col>17</xdr:col>
      <xdr:colOff>342900</xdr:colOff>
      <xdr:row>10</xdr:row>
      <xdr:rowOff>60960</xdr:rowOff>
    </xdr:to>
    <xdr:sp macro="" textlink="">
      <xdr:nvSpPr>
        <xdr:cNvPr id="7" name="Rectangle: Rounded Corners 6">
          <a:extLst>
            <a:ext uri="{FF2B5EF4-FFF2-40B4-BE49-F238E27FC236}">
              <a16:creationId xmlns:a16="http://schemas.microsoft.com/office/drawing/2014/main" id="{6D474A16-9A1B-462E-B106-C2ED0188B33E}"/>
            </a:ext>
          </a:extLst>
        </xdr:cNvPr>
        <xdr:cNvSpPr/>
      </xdr:nvSpPr>
      <xdr:spPr>
        <a:xfrm>
          <a:off x="9235440" y="1036320"/>
          <a:ext cx="147066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2"/>
              </a:solidFill>
              <a:latin typeface="Arial Black" panose="020B0A04020102020204" pitchFamily="34" charset="0"/>
            </a:rPr>
            <a:t>AOV</a:t>
          </a:r>
        </a:p>
      </xdr:txBody>
    </xdr:sp>
    <xdr:clientData/>
  </xdr:twoCellAnchor>
  <xdr:twoCellAnchor>
    <xdr:from>
      <xdr:col>3</xdr:col>
      <xdr:colOff>175260</xdr:colOff>
      <xdr:row>11</xdr:row>
      <xdr:rowOff>0</xdr:rowOff>
    </xdr:from>
    <xdr:to>
      <xdr:col>7</xdr:col>
      <xdr:colOff>495300</xdr:colOff>
      <xdr:row>24</xdr:row>
      <xdr:rowOff>106680</xdr:rowOff>
    </xdr:to>
    <xdr:sp macro="" textlink="">
      <xdr:nvSpPr>
        <xdr:cNvPr id="8" name="Rectangle: Rounded Corners 7">
          <a:extLst>
            <a:ext uri="{FF2B5EF4-FFF2-40B4-BE49-F238E27FC236}">
              <a16:creationId xmlns:a16="http://schemas.microsoft.com/office/drawing/2014/main" id="{F5122A00-A7C7-46AA-AAFA-7CA34E0944EA}"/>
            </a:ext>
          </a:extLst>
        </xdr:cNvPr>
        <xdr:cNvSpPr/>
      </xdr:nvSpPr>
      <xdr:spPr>
        <a:xfrm>
          <a:off x="2004060" y="2011680"/>
          <a:ext cx="2758440" cy="24841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latin typeface="Arial Black" panose="020B0A04020102020204" pitchFamily="34" charset="0"/>
            </a:rPr>
            <a:t>Total Sales by Region</a:t>
          </a:r>
        </a:p>
      </xdr:txBody>
    </xdr:sp>
    <xdr:clientData/>
  </xdr:twoCellAnchor>
  <xdr:twoCellAnchor>
    <xdr:from>
      <xdr:col>8</xdr:col>
      <xdr:colOff>45720</xdr:colOff>
      <xdr:row>11</xdr:row>
      <xdr:rowOff>7620</xdr:rowOff>
    </xdr:from>
    <xdr:to>
      <xdr:col>12</xdr:col>
      <xdr:colOff>365760</xdr:colOff>
      <xdr:row>24</xdr:row>
      <xdr:rowOff>114300</xdr:rowOff>
    </xdr:to>
    <xdr:sp macro="" textlink="">
      <xdr:nvSpPr>
        <xdr:cNvPr id="9" name="Rectangle: Rounded Corners 8">
          <a:extLst>
            <a:ext uri="{FF2B5EF4-FFF2-40B4-BE49-F238E27FC236}">
              <a16:creationId xmlns:a16="http://schemas.microsoft.com/office/drawing/2014/main" id="{71DAAADA-62EF-4BA1-908F-7B4F317F9ED9}"/>
            </a:ext>
          </a:extLst>
        </xdr:cNvPr>
        <xdr:cNvSpPr/>
      </xdr:nvSpPr>
      <xdr:spPr>
        <a:xfrm>
          <a:off x="4922520" y="2019300"/>
          <a:ext cx="2758440" cy="24841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a:solidFill>
                <a:schemeClr val="tx2"/>
              </a:solidFill>
              <a:effectLst/>
              <a:latin typeface="Arial Black" panose="020B0A04020102020204" pitchFamily="34" charset="0"/>
              <a:ea typeface="+mn-ea"/>
              <a:cs typeface="+mn-cs"/>
            </a:rPr>
            <a:t>Total</a:t>
          </a:r>
          <a:r>
            <a:rPr lang="en-IN" sz="1100" b="0" baseline="0">
              <a:solidFill>
                <a:schemeClr val="tx2"/>
              </a:solidFill>
              <a:effectLst/>
              <a:latin typeface="Arial Black" panose="020B0A04020102020204" pitchFamily="34" charset="0"/>
              <a:ea typeface="+mn-ea"/>
              <a:cs typeface="+mn-cs"/>
            </a:rPr>
            <a:t> </a:t>
          </a:r>
          <a:r>
            <a:rPr lang="en-IN" sz="1100" b="0">
              <a:solidFill>
                <a:schemeClr val="tx2"/>
              </a:solidFill>
              <a:effectLst/>
              <a:latin typeface="Arial Black" panose="020B0A04020102020204" pitchFamily="34" charset="0"/>
              <a:ea typeface="+mn-ea"/>
              <a:cs typeface="+mn-cs"/>
            </a:rPr>
            <a:t>Sales</a:t>
          </a:r>
          <a:r>
            <a:rPr lang="en-IN" sz="1100" b="0" baseline="0">
              <a:solidFill>
                <a:schemeClr val="tx2"/>
              </a:solidFill>
              <a:effectLst/>
              <a:latin typeface="Arial Black" panose="020B0A04020102020204" pitchFamily="34" charset="0"/>
              <a:ea typeface="+mn-ea"/>
              <a:cs typeface="+mn-cs"/>
            </a:rPr>
            <a:t> by Category</a:t>
          </a:r>
          <a:endParaRPr lang="en-IN" b="0">
            <a:solidFill>
              <a:schemeClr val="tx2"/>
            </a:solidFill>
            <a:effectLst/>
            <a:latin typeface="Arial Black" panose="020B0A04020102020204" pitchFamily="34" charset="0"/>
          </a:endParaRPr>
        </a:p>
        <a:p>
          <a:pPr algn="l"/>
          <a:endParaRPr lang="en-IN" sz="1100"/>
        </a:p>
      </xdr:txBody>
    </xdr:sp>
    <xdr:clientData/>
  </xdr:twoCellAnchor>
  <xdr:twoCellAnchor>
    <xdr:from>
      <xdr:col>13</xdr:col>
      <xdr:colOff>30480</xdr:colOff>
      <xdr:row>11</xdr:row>
      <xdr:rowOff>22860</xdr:rowOff>
    </xdr:from>
    <xdr:to>
      <xdr:col>17</xdr:col>
      <xdr:colOff>350520</xdr:colOff>
      <xdr:row>24</xdr:row>
      <xdr:rowOff>129540</xdr:rowOff>
    </xdr:to>
    <xdr:sp macro="" textlink="">
      <xdr:nvSpPr>
        <xdr:cNvPr id="10" name="Rectangle: Rounded Corners 9">
          <a:extLst>
            <a:ext uri="{FF2B5EF4-FFF2-40B4-BE49-F238E27FC236}">
              <a16:creationId xmlns:a16="http://schemas.microsoft.com/office/drawing/2014/main" id="{C30BAD0C-8A93-47AC-8D78-4609EEEDEB40}"/>
            </a:ext>
          </a:extLst>
        </xdr:cNvPr>
        <xdr:cNvSpPr/>
      </xdr:nvSpPr>
      <xdr:spPr>
        <a:xfrm>
          <a:off x="7955280" y="2034540"/>
          <a:ext cx="2758440" cy="24841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latin typeface="Arial Black" panose="020B0A04020102020204" pitchFamily="34" charset="0"/>
            </a:rPr>
            <a:t>Total</a:t>
          </a:r>
          <a:r>
            <a:rPr lang="en-IN" sz="1100" baseline="0">
              <a:solidFill>
                <a:schemeClr val="tx2"/>
              </a:solidFill>
              <a:latin typeface="Arial Black" panose="020B0A04020102020204" pitchFamily="34" charset="0"/>
            </a:rPr>
            <a:t> </a:t>
          </a:r>
          <a:r>
            <a:rPr lang="en-IN" sz="1100">
              <a:solidFill>
                <a:schemeClr val="tx2"/>
              </a:solidFill>
              <a:latin typeface="Arial Black" panose="020B0A04020102020204" pitchFamily="34" charset="0"/>
            </a:rPr>
            <a:t>Profit</a:t>
          </a:r>
          <a:r>
            <a:rPr lang="en-IN" sz="1100" baseline="0">
              <a:solidFill>
                <a:schemeClr val="tx2"/>
              </a:solidFill>
              <a:latin typeface="Arial Black" panose="020B0A04020102020204" pitchFamily="34" charset="0"/>
            </a:rPr>
            <a:t> by Category</a:t>
          </a:r>
          <a:endParaRPr lang="en-IN" sz="1100">
            <a:solidFill>
              <a:schemeClr val="tx2"/>
            </a:solidFill>
            <a:latin typeface="Arial Black" panose="020B0A04020102020204" pitchFamily="34" charset="0"/>
          </a:endParaRPr>
        </a:p>
      </xdr:txBody>
    </xdr:sp>
    <xdr:clientData/>
  </xdr:twoCellAnchor>
  <xdr:twoCellAnchor>
    <xdr:from>
      <xdr:col>0</xdr:col>
      <xdr:colOff>83820</xdr:colOff>
      <xdr:row>0</xdr:row>
      <xdr:rowOff>106680</xdr:rowOff>
    </xdr:from>
    <xdr:to>
      <xdr:col>2</xdr:col>
      <xdr:colOff>533400</xdr:colOff>
      <xdr:row>9</xdr:row>
      <xdr:rowOff>7620</xdr:rowOff>
    </xdr:to>
    <xdr:sp macro="" textlink="">
      <xdr:nvSpPr>
        <xdr:cNvPr id="11" name="Rectangle: Rounded Corners 10">
          <a:extLst>
            <a:ext uri="{FF2B5EF4-FFF2-40B4-BE49-F238E27FC236}">
              <a16:creationId xmlns:a16="http://schemas.microsoft.com/office/drawing/2014/main" id="{10DE411A-1B63-480A-9DB7-9F147C406868}"/>
            </a:ext>
          </a:extLst>
        </xdr:cNvPr>
        <xdr:cNvSpPr/>
      </xdr:nvSpPr>
      <xdr:spPr>
        <a:xfrm>
          <a:off x="83820" y="106680"/>
          <a:ext cx="1668780" cy="1546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9</xdr:row>
      <xdr:rowOff>106680</xdr:rowOff>
    </xdr:from>
    <xdr:to>
      <xdr:col>2</xdr:col>
      <xdr:colOff>525780</xdr:colOff>
      <xdr:row>18</xdr:row>
      <xdr:rowOff>0</xdr:rowOff>
    </xdr:to>
    <xdr:sp macro="" textlink="">
      <xdr:nvSpPr>
        <xdr:cNvPr id="14" name="Rectangle: Rounded Corners 13">
          <a:extLst>
            <a:ext uri="{FF2B5EF4-FFF2-40B4-BE49-F238E27FC236}">
              <a16:creationId xmlns:a16="http://schemas.microsoft.com/office/drawing/2014/main" id="{AB6EA897-EA97-4AE1-9ECC-B59E1FCBC78E}"/>
            </a:ext>
          </a:extLst>
        </xdr:cNvPr>
        <xdr:cNvSpPr/>
      </xdr:nvSpPr>
      <xdr:spPr>
        <a:xfrm>
          <a:off x="83820" y="1752600"/>
          <a:ext cx="1661160" cy="1539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160020</xdr:colOff>
      <xdr:row>1</xdr:row>
      <xdr:rowOff>53340</xdr:rowOff>
    </xdr:from>
    <xdr:to>
      <xdr:col>2</xdr:col>
      <xdr:colOff>472440</xdr:colOff>
      <xdr:row>8</xdr:row>
      <xdr:rowOff>106680</xdr:rowOff>
    </xdr:to>
    <mc:AlternateContent xmlns:mc="http://schemas.openxmlformats.org/markup-compatibility/2006">
      <mc:Choice xmlns:tsle="http://schemas.microsoft.com/office/drawing/2012/timeslicer" Requires="tsle">
        <xdr:graphicFrame macro="">
          <xdr:nvGraphicFramePr>
            <xdr:cNvPr id="16" name="Order_Date 1">
              <a:extLst>
                <a:ext uri="{FF2B5EF4-FFF2-40B4-BE49-F238E27FC236}">
                  <a16:creationId xmlns:a16="http://schemas.microsoft.com/office/drawing/2014/main" id="{8314373F-9BE7-4730-9A8D-362B0684C576}"/>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60020" y="236220"/>
              <a:ext cx="1531620"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228600</xdr:colOff>
      <xdr:row>9</xdr:row>
      <xdr:rowOff>175260</xdr:rowOff>
    </xdr:from>
    <xdr:to>
      <xdr:col>2</xdr:col>
      <xdr:colOff>403860</xdr:colOff>
      <xdr:row>17</xdr:row>
      <xdr:rowOff>144780</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0308E024-7366-42DF-95B9-EC2FF40836C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8600" y="1821180"/>
              <a:ext cx="139446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18</xdr:row>
      <xdr:rowOff>91440</xdr:rowOff>
    </xdr:from>
    <xdr:to>
      <xdr:col>2</xdr:col>
      <xdr:colOff>541020</xdr:colOff>
      <xdr:row>25</xdr:row>
      <xdr:rowOff>114300</xdr:rowOff>
    </xdr:to>
    <xdr:sp macro="" textlink="">
      <xdr:nvSpPr>
        <xdr:cNvPr id="18" name="Rectangle: Rounded Corners 17">
          <a:extLst>
            <a:ext uri="{FF2B5EF4-FFF2-40B4-BE49-F238E27FC236}">
              <a16:creationId xmlns:a16="http://schemas.microsoft.com/office/drawing/2014/main" id="{00336793-61B3-4216-B668-9213FA2FD410}"/>
            </a:ext>
          </a:extLst>
        </xdr:cNvPr>
        <xdr:cNvSpPr/>
      </xdr:nvSpPr>
      <xdr:spPr>
        <a:xfrm>
          <a:off x="99060" y="3383280"/>
          <a:ext cx="1661160" cy="13030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266700</xdr:colOff>
      <xdr:row>18</xdr:row>
      <xdr:rowOff>160020</xdr:rowOff>
    </xdr:from>
    <xdr:to>
      <xdr:col>2</xdr:col>
      <xdr:colOff>411480</xdr:colOff>
      <xdr:row>25</xdr:row>
      <xdr:rowOff>76200</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3D3CED2D-573A-414F-B0C9-4194A261787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6700" y="3451860"/>
              <a:ext cx="136398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26</xdr:row>
      <xdr:rowOff>53340</xdr:rowOff>
    </xdr:from>
    <xdr:to>
      <xdr:col>2</xdr:col>
      <xdr:colOff>533400</xdr:colOff>
      <xdr:row>36</xdr:row>
      <xdr:rowOff>30480</xdr:rowOff>
    </xdr:to>
    <xdr:sp macro="" textlink="">
      <xdr:nvSpPr>
        <xdr:cNvPr id="20" name="Rectangle: Rounded Corners 19">
          <a:extLst>
            <a:ext uri="{FF2B5EF4-FFF2-40B4-BE49-F238E27FC236}">
              <a16:creationId xmlns:a16="http://schemas.microsoft.com/office/drawing/2014/main" id="{AC3ADC5B-E51D-4886-A264-3DEDB12AA508}"/>
            </a:ext>
          </a:extLst>
        </xdr:cNvPr>
        <xdr:cNvSpPr/>
      </xdr:nvSpPr>
      <xdr:spPr>
        <a:xfrm>
          <a:off x="91440" y="4808220"/>
          <a:ext cx="1661160" cy="1805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27</xdr:row>
      <xdr:rowOff>60960</xdr:rowOff>
    </xdr:from>
    <xdr:to>
      <xdr:col>2</xdr:col>
      <xdr:colOff>525780</xdr:colOff>
      <xdr:row>35</xdr:row>
      <xdr:rowOff>38100</xdr:rowOff>
    </xdr:to>
    <mc:AlternateContent xmlns:mc="http://schemas.openxmlformats.org/markup-compatibility/2006">
      <mc:Choice xmlns:a14="http://schemas.microsoft.com/office/drawing/2010/main" Requires="a14">
        <xdr:graphicFrame macro="">
          <xdr:nvGraphicFramePr>
            <xdr:cNvPr id="21" name="Payment_Mode 1">
              <a:extLst>
                <a:ext uri="{FF2B5EF4-FFF2-40B4-BE49-F238E27FC236}">
                  <a16:creationId xmlns:a16="http://schemas.microsoft.com/office/drawing/2014/main" id="{B53E3089-A646-4A0C-A405-41B6F5E4FA81}"/>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06680" y="4998720"/>
              <a:ext cx="16383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36</xdr:row>
      <xdr:rowOff>114300</xdr:rowOff>
    </xdr:from>
    <xdr:to>
      <xdr:col>2</xdr:col>
      <xdr:colOff>510540</xdr:colOff>
      <xdr:row>43</xdr:row>
      <xdr:rowOff>137160</xdr:rowOff>
    </xdr:to>
    <xdr:sp macro="" textlink="">
      <xdr:nvSpPr>
        <xdr:cNvPr id="22" name="Rectangle: Rounded Corners 21">
          <a:extLst>
            <a:ext uri="{FF2B5EF4-FFF2-40B4-BE49-F238E27FC236}">
              <a16:creationId xmlns:a16="http://schemas.microsoft.com/office/drawing/2014/main" id="{2C4025B9-17CA-4CA4-9238-98DECC189BAB}"/>
            </a:ext>
          </a:extLst>
        </xdr:cNvPr>
        <xdr:cNvSpPr/>
      </xdr:nvSpPr>
      <xdr:spPr>
        <a:xfrm>
          <a:off x="68580" y="6697980"/>
          <a:ext cx="1661160" cy="13030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137160</xdr:colOff>
      <xdr:row>37</xdr:row>
      <xdr:rowOff>38100</xdr:rowOff>
    </xdr:from>
    <xdr:to>
      <xdr:col>2</xdr:col>
      <xdr:colOff>480060</xdr:colOff>
      <xdr:row>43</xdr:row>
      <xdr:rowOff>45720</xdr:rowOff>
    </xdr:to>
    <mc:AlternateContent xmlns:mc="http://schemas.openxmlformats.org/markup-compatibility/2006">
      <mc:Choice xmlns:a14="http://schemas.microsoft.com/office/drawing/2010/main" Requires="a14">
        <xdr:graphicFrame macro="">
          <xdr:nvGraphicFramePr>
            <xdr:cNvPr id="23" name="Customer_Type 1">
              <a:extLst>
                <a:ext uri="{FF2B5EF4-FFF2-40B4-BE49-F238E27FC236}">
                  <a16:creationId xmlns:a16="http://schemas.microsoft.com/office/drawing/2014/main" id="{D0C595B6-1BE1-4513-B469-72DD29976C61}"/>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37160" y="6804660"/>
              <a:ext cx="15621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76200</xdr:colOff>
      <xdr:row>13</xdr:row>
      <xdr:rowOff>91440</xdr:rowOff>
    </xdr:from>
    <xdr:to>
      <xdr:col>17</xdr:col>
      <xdr:colOff>289560</xdr:colOff>
      <xdr:row>23</xdr:row>
      <xdr:rowOff>53340</xdr:rowOff>
    </xdr:to>
    <xdr:graphicFrame macro="">
      <xdr:nvGraphicFramePr>
        <xdr:cNvPr id="25" name="Chart 24">
          <a:extLst>
            <a:ext uri="{FF2B5EF4-FFF2-40B4-BE49-F238E27FC236}">
              <a16:creationId xmlns:a16="http://schemas.microsoft.com/office/drawing/2014/main" id="{D17498E1-986D-4389-963D-1A9C01998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13</xdr:row>
      <xdr:rowOff>114300</xdr:rowOff>
    </xdr:from>
    <xdr:to>
      <xdr:col>12</xdr:col>
      <xdr:colOff>304800</xdr:colOff>
      <xdr:row>23</xdr:row>
      <xdr:rowOff>60960</xdr:rowOff>
    </xdr:to>
    <xdr:graphicFrame macro="">
      <xdr:nvGraphicFramePr>
        <xdr:cNvPr id="26" name="Chart 25">
          <a:extLst>
            <a:ext uri="{FF2B5EF4-FFF2-40B4-BE49-F238E27FC236}">
              <a16:creationId xmlns:a16="http://schemas.microsoft.com/office/drawing/2014/main" id="{D1859CCD-6608-4922-9089-C75D6B4F3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13</xdr:row>
      <xdr:rowOff>15240</xdr:rowOff>
    </xdr:from>
    <xdr:to>
      <xdr:col>7</xdr:col>
      <xdr:colOff>426720</xdr:colOff>
      <xdr:row>23</xdr:row>
      <xdr:rowOff>64770</xdr:rowOff>
    </xdr:to>
    <xdr:graphicFrame macro="">
      <xdr:nvGraphicFramePr>
        <xdr:cNvPr id="27" name="Chart 26">
          <a:extLst>
            <a:ext uri="{FF2B5EF4-FFF2-40B4-BE49-F238E27FC236}">
              <a16:creationId xmlns:a16="http://schemas.microsoft.com/office/drawing/2014/main" id="{54AC83F9-736B-47FF-A30D-DBB88142E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25</xdr:row>
      <xdr:rowOff>144780</xdr:rowOff>
    </xdr:from>
    <xdr:to>
      <xdr:col>10</xdr:col>
      <xdr:colOff>266700</xdr:colOff>
      <xdr:row>44</xdr:row>
      <xdr:rowOff>38100</xdr:rowOff>
    </xdr:to>
    <xdr:sp macro="" textlink="">
      <xdr:nvSpPr>
        <xdr:cNvPr id="29" name="Rectangle: Rounded Corners 28">
          <a:extLst>
            <a:ext uri="{FF2B5EF4-FFF2-40B4-BE49-F238E27FC236}">
              <a16:creationId xmlns:a16="http://schemas.microsoft.com/office/drawing/2014/main" id="{34162580-E2D5-4D01-A2D9-1AA7FE47FCB3}"/>
            </a:ext>
          </a:extLst>
        </xdr:cNvPr>
        <xdr:cNvSpPr/>
      </xdr:nvSpPr>
      <xdr:spPr>
        <a:xfrm>
          <a:off x="2125980" y="4716780"/>
          <a:ext cx="4236720" cy="33680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latin typeface="Arial Black" panose="020B0A04020102020204" pitchFamily="34" charset="0"/>
            </a:rPr>
            <a:t>Monthly Sales Trend</a:t>
          </a:r>
        </a:p>
      </xdr:txBody>
    </xdr:sp>
    <xdr:clientData/>
  </xdr:twoCellAnchor>
  <xdr:twoCellAnchor>
    <xdr:from>
      <xdr:col>10</xdr:col>
      <xdr:colOff>502920</xdr:colOff>
      <xdr:row>25</xdr:row>
      <xdr:rowOff>144780</xdr:rowOff>
    </xdr:from>
    <xdr:to>
      <xdr:col>17</xdr:col>
      <xdr:colOff>472440</xdr:colOff>
      <xdr:row>44</xdr:row>
      <xdr:rowOff>38100</xdr:rowOff>
    </xdr:to>
    <xdr:sp macro="" textlink="">
      <xdr:nvSpPr>
        <xdr:cNvPr id="30" name="Rectangle: Rounded Corners 29">
          <a:extLst>
            <a:ext uri="{FF2B5EF4-FFF2-40B4-BE49-F238E27FC236}">
              <a16:creationId xmlns:a16="http://schemas.microsoft.com/office/drawing/2014/main" id="{C269DA92-3C38-4AE8-A33C-4A2A63704608}"/>
            </a:ext>
          </a:extLst>
        </xdr:cNvPr>
        <xdr:cNvSpPr/>
      </xdr:nvSpPr>
      <xdr:spPr>
        <a:xfrm>
          <a:off x="6598920" y="4716780"/>
          <a:ext cx="4236720" cy="33680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2"/>
              </a:solidFill>
              <a:latin typeface="Arial Black" panose="020B0A04020102020204" pitchFamily="34" charset="0"/>
            </a:rPr>
            <a:t>Payment Mode Distribution</a:t>
          </a:r>
        </a:p>
      </xdr:txBody>
    </xdr:sp>
    <xdr:clientData/>
  </xdr:twoCellAnchor>
  <xdr:twoCellAnchor>
    <xdr:from>
      <xdr:col>3</xdr:col>
      <xdr:colOff>419100</xdr:colOff>
      <xdr:row>28</xdr:row>
      <xdr:rowOff>152400</xdr:rowOff>
    </xdr:from>
    <xdr:to>
      <xdr:col>10</xdr:col>
      <xdr:colOff>167640</xdr:colOff>
      <xdr:row>43</xdr:row>
      <xdr:rowOff>0</xdr:rowOff>
    </xdr:to>
    <xdr:graphicFrame macro="">
      <xdr:nvGraphicFramePr>
        <xdr:cNvPr id="31" name="Chart 30">
          <a:extLst>
            <a:ext uri="{FF2B5EF4-FFF2-40B4-BE49-F238E27FC236}">
              <a16:creationId xmlns:a16="http://schemas.microsoft.com/office/drawing/2014/main" id="{316F7874-61E8-4409-999A-5BF1FA70E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91440</xdr:colOff>
      <xdr:row>28</xdr:row>
      <xdr:rowOff>91440</xdr:rowOff>
    </xdr:from>
    <xdr:to>
      <xdr:col>17</xdr:col>
      <xdr:colOff>342900</xdr:colOff>
      <xdr:row>43</xdr:row>
      <xdr:rowOff>22860</xdr:rowOff>
    </xdr:to>
    <xdr:graphicFrame macro="">
      <xdr:nvGraphicFramePr>
        <xdr:cNvPr id="32" name="Chart 31">
          <a:extLst>
            <a:ext uri="{FF2B5EF4-FFF2-40B4-BE49-F238E27FC236}">
              <a16:creationId xmlns:a16="http://schemas.microsoft.com/office/drawing/2014/main" id="{D1863DBA-91D9-47D4-9666-22EDEE291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312420</xdr:colOff>
      <xdr:row>7</xdr:row>
      <xdr:rowOff>45720</xdr:rowOff>
    </xdr:from>
    <xdr:to>
      <xdr:col>5</xdr:col>
      <xdr:colOff>396240</xdr:colOff>
      <xdr:row>9</xdr:row>
      <xdr:rowOff>91440</xdr:rowOff>
    </xdr:to>
    <xdr:sp macro="" textlink="'KPI Analysis '!C6">
      <xdr:nvSpPr>
        <xdr:cNvPr id="33" name="Rectangle 32">
          <a:extLst>
            <a:ext uri="{FF2B5EF4-FFF2-40B4-BE49-F238E27FC236}">
              <a16:creationId xmlns:a16="http://schemas.microsoft.com/office/drawing/2014/main" id="{0650FB6F-A665-E2A0-F0AC-C9CBD249F486}"/>
            </a:ext>
          </a:extLst>
        </xdr:cNvPr>
        <xdr:cNvSpPr/>
      </xdr:nvSpPr>
      <xdr:spPr>
        <a:xfrm>
          <a:off x="2141220" y="1325880"/>
          <a:ext cx="1303020" cy="4114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34F217A-6BC2-450C-A5E0-5218D364748F}" type="TxLink">
            <a:rPr lang="en-US" sz="2400" b="1" i="0" u="none" strike="noStrike">
              <a:solidFill>
                <a:schemeClr val="tx2"/>
              </a:solidFill>
              <a:latin typeface="Calibri"/>
              <a:ea typeface="Calibri"/>
              <a:cs typeface="Calibri"/>
            </a:rPr>
            <a:pPr algn="ctr"/>
            <a:t>2,24,100</a:t>
          </a:fld>
          <a:endParaRPr lang="en-IN" sz="2400" b="1">
            <a:solidFill>
              <a:schemeClr val="tx2"/>
            </a:solidFill>
          </a:endParaRPr>
        </a:p>
      </xdr:txBody>
    </xdr:sp>
    <xdr:clientData/>
  </xdr:twoCellAnchor>
  <xdr:twoCellAnchor>
    <xdr:from>
      <xdr:col>6</xdr:col>
      <xdr:colOff>274320</xdr:colOff>
      <xdr:row>7</xdr:row>
      <xdr:rowOff>53340</xdr:rowOff>
    </xdr:from>
    <xdr:to>
      <xdr:col>8</xdr:col>
      <xdr:colOff>358140</xdr:colOff>
      <xdr:row>9</xdr:row>
      <xdr:rowOff>99060</xdr:rowOff>
    </xdr:to>
    <xdr:sp macro="" textlink="'KPI Analysis '!E6">
      <xdr:nvSpPr>
        <xdr:cNvPr id="35" name="Rectangle 34">
          <a:extLst>
            <a:ext uri="{FF2B5EF4-FFF2-40B4-BE49-F238E27FC236}">
              <a16:creationId xmlns:a16="http://schemas.microsoft.com/office/drawing/2014/main" id="{DF75D5DC-E7B1-4A3D-8A6C-098156CE96B2}"/>
            </a:ext>
          </a:extLst>
        </xdr:cNvPr>
        <xdr:cNvSpPr/>
      </xdr:nvSpPr>
      <xdr:spPr>
        <a:xfrm>
          <a:off x="3931920" y="1333500"/>
          <a:ext cx="1303020" cy="4114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78D6641-6515-44B9-B984-28C710C6BB0D}" type="TxLink">
            <a:rPr lang="en-US" sz="2400" b="1" i="0" u="none" strike="noStrike">
              <a:solidFill>
                <a:schemeClr val="tx2"/>
              </a:solidFill>
              <a:latin typeface="Calibri"/>
              <a:ea typeface="Calibri"/>
              <a:cs typeface="Calibri"/>
            </a:rPr>
            <a:pPr marL="0" indent="0" algn="ctr"/>
            <a:t>25,689</a:t>
          </a:fld>
          <a:endParaRPr lang="en-IN" sz="2400" b="1" i="0" u="none" strike="noStrike">
            <a:solidFill>
              <a:schemeClr val="tx2"/>
            </a:solidFill>
            <a:latin typeface="Calibri"/>
            <a:ea typeface="Calibri"/>
            <a:cs typeface="Calibri"/>
          </a:endParaRPr>
        </a:p>
      </xdr:txBody>
    </xdr:sp>
    <xdr:clientData/>
  </xdr:twoCellAnchor>
  <xdr:twoCellAnchor>
    <xdr:from>
      <xdr:col>9</xdr:col>
      <xdr:colOff>236220</xdr:colOff>
      <xdr:row>7</xdr:row>
      <xdr:rowOff>22860</xdr:rowOff>
    </xdr:from>
    <xdr:to>
      <xdr:col>11</xdr:col>
      <xdr:colOff>320040</xdr:colOff>
      <xdr:row>9</xdr:row>
      <xdr:rowOff>68580</xdr:rowOff>
    </xdr:to>
    <xdr:sp macro="" textlink="'KPI Analysis '!F6">
      <xdr:nvSpPr>
        <xdr:cNvPr id="36" name="Rectangle 35">
          <a:extLst>
            <a:ext uri="{FF2B5EF4-FFF2-40B4-BE49-F238E27FC236}">
              <a16:creationId xmlns:a16="http://schemas.microsoft.com/office/drawing/2014/main" id="{AA4D5A69-2E21-403F-8A6C-9BF435F3FD7B}"/>
            </a:ext>
          </a:extLst>
        </xdr:cNvPr>
        <xdr:cNvSpPr/>
      </xdr:nvSpPr>
      <xdr:spPr>
        <a:xfrm>
          <a:off x="5722620" y="1303020"/>
          <a:ext cx="1303020" cy="4114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885E477-F1F4-4294-BE4E-C399FA35F888}" type="TxLink">
            <a:rPr lang="en-US" sz="2400" b="1" i="0" u="none" strike="noStrike">
              <a:solidFill>
                <a:schemeClr val="tx2"/>
              </a:solidFill>
              <a:latin typeface="Calibri"/>
              <a:ea typeface="Calibri"/>
              <a:cs typeface="Calibri"/>
            </a:rPr>
            <a:pPr marL="0" indent="0" algn="ctr"/>
            <a:t>24</a:t>
          </a:fld>
          <a:endParaRPr lang="en-IN" sz="2400" b="1" i="0" u="none" strike="noStrike">
            <a:solidFill>
              <a:schemeClr val="tx2"/>
            </a:solidFill>
            <a:latin typeface="Calibri"/>
            <a:ea typeface="Calibri"/>
            <a:cs typeface="Calibri"/>
          </a:endParaRPr>
        </a:p>
      </xdr:txBody>
    </xdr:sp>
    <xdr:clientData/>
  </xdr:twoCellAnchor>
  <xdr:twoCellAnchor>
    <xdr:from>
      <xdr:col>12</xdr:col>
      <xdr:colOff>175260</xdr:colOff>
      <xdr:row>7</xdr:row>
      <xdr:rowOff>53340</xdr:rowOff>
    </xdr:from>
    <xdr:to>
      <xdr:col>14</xdr:col>
      <xdr:colOff>259080</xdr:colOff>
      <xdr:row>9</xdr:row>
      <xdr:rowOff>60960</xdr:rowOff>
    </xdr:to>
    <xdr:sp macro="" textlink="'KPI Analysis '!D6">
      <xdr:nvSpPr>
        <xdr:cNvPr id="37" name="Rectangle 36">
          <a:extLst>
            <a:ext uri="{FF2B5EF4-FFF2-40B4-BE49-F238E27FC236}">
              <a16:creationId xmlns:a16="http://schemas.microsoft.com/office/drawing/2014/main" id="{AA2635D5-2D4F-444C-AF28-CEDBE349C294}"/>
            </a:ext>
          </a:extLst>
        </xdr:cNvPr>
        <xdr:cNvSpPr/>
      </xdr:nvSpPr>
      <xdr:spPr>
        <a:xfrm>
          <a:off x="7490460" y="1333500"/>
          <a:ext cx="1303020" cy="3733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F04013C-7D9F-4DD6-9CDE-D3A98211BC17}" type="TxLink">
            <a:rPr lang="en-US" sz="2400" b="1" i="0" u="none" strike="noStrike">
              <a:solidFill>
                <a:schemeClr val="tx2"/>
              </a:solidFill>
              <a:latin typeface="Calibri"/>
              <a:ea typeface="Calibri"/>
              <a:cs typeface="Calibri"/>
            </a:rPr>
            <a:pPr marL="0" indent="0" algn="ctr"/>
            <a:t>43</a:t>
          </a:fld>
          <a:endParaRPr lang="en-IN" sz="2400" b="1" i="0" u="none" strike="noStrike">
            <a:solidFill>
              <a:schemeClr val="tx2"/>
            </a:solidFill>
            <a:latin typeface="Calibri"/>
            <a:ea typeface="Calibri"/>
            <a:cs typeface="Calibri"/>
          </a:endParaRPr>
        </a:p>
      </xdr:txBody>
    </xdr:sp>
    <xdr:clientData/>
  </xdr:twoCellAnchor>
  <xdr:twoCellAnchor>
    <xdr:from>
      <xdr:col>15</xdr:col>
      <xdr:colOff>205740</xdr:colOff>
      <xdr:row>7</xdr:row>
      <xdr:rowOff>15240</xdr:rowOff>
    </xdr:from>
    <xdr:to>
      <xdr:col>17</xdr:col>
      <xdr:colOff>289560</xdr:colOff>
      <xdr:row>9</xdr:row>
      <xdr:rowOff>60960</xdr:rowOff>
    </xdr:to>
    <xdr:sp macro="" textlink="'KPI Analysis '!G6">
      <xdr:nvSpPr>
        <xdr:cNvPr id="38" name="Rectangle 37">
          <a:extLst>
            <a:ext uri="{FF2B5EF4-FFF2-40B4-BE49-F238E27FC236}">
              <a16:creationId xmlns:a16="http://schemas.microsoft.com/office/drawing/2014/main" id="{F89BAB57-551C-43AF-8167-11B956864FA4}"/>
            </a:ext>
          </a:extLst>
        </xdr:cNvPr>
        <xdr:cNvSpPr/>
      </xdr:nvSpPr>
      <xdr:spPr>
        <a:xfrm>
          <a:off x="9349740" y="1295400"/>
          <a:ext cx="1303020" cy="4114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F268720-DFE1-4566-8984-FCA0FC74D53E}" type="TxLink">
            <a:rPr lang="en-US" sz="2400" b="1" i="0" u="none" strike="noStrike">
              <a:solidFill>
                <a:schemeClr val="tx2"/>
              </a:solidFill>
              <a:latin typeface="Calibri"/>
              <a:ea typeface="Calibri"/>
              <a:cs typeface="Calibri"/>
            </a:rPr>
            <a:pPr marL="0" indent="0" algn="ctr"/>
            <a:t>9,338</a:t>
          </a:fld>
          <a:endParaRPr lang="en-IN" sz="2400" b="1" i="0" u="none" strike="noStrike">
            <a:solidFill>
              <a:schemeClr val="tx2"/>
            </a:solidFill>
            <a:latin typeface="Calibri"/>
            <a:ea typeface="Calibri"/>
            <a:cs typeface="Calibri"/>
          </a:endParaRPr>
        </a:p>
      </xdr:txBody>
    </xdr:sp>
    <xdr:clientData/>
  </xdr:twoCellAnchor>
  <xdr:twoCellAnchor>
    <xdr:from>
      <xdr:col>12</xdr:col>
      <xdr:colOff>510540</xdr:colOff>
      <xdr:row>1</xdr:row>
      <xdr:rowOff>160020</xdr:rowOff>
    </xdr:from>
    <xdr:to>
      <xdr:col>14</xdr:col>
      <xdr:colOff>502920</xdr:colOff>
      <xdr:row>4</xdr:row>
      <xdr:rowOff>0</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4D6E4114-8BE5-4005-9FDD-8FE45EA851AF}"/>
            </a:ext>
          </a:extLst>
        </xdr:cNvPr>
        <xdr:cNvSpPr/>
      </xdr:nvSpPr>
      <xdr:spPr>
        <a:xfrm>
          <a:off x="7825740" y="342900"/>
          <a:ext cx="1211580" cy="388620"/>
        </a:xfrm>
        <a:prstGeom prst="roundRect">
          <a:avLst/>
        </a:prstGeom>
        <a:solidFill>
          <a:schemeClr val="tx2">
            <a:lumMod val="20000"/>
            <a:lumOff val="80000"/>
          </a:schemeClr>
        </a:solidFill>
        <a:ln>
          <a:solidFill>
            <a:schemeClr val="tx2">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2"/>
              </a:solidFill>
              <a:latin typeface="Arial Black" panose="020B0A04020102020204" pitchFamily="34" charset="0"/>
            </a:rPr>
            <a:t>Sales Data</a:t>
          </a:r>
        </a:p>
      </xdr:txBody>
    </xdr:sp>
    <xdr:clientData/>
  </xdr:twoCellAnchor>
  <xdr:twoCellAnchor>
    <xdr:from>
      <xdr:col>15</xdr:col>
      <xdr:colOff>68580</xdr:colOff>
      <xdr:row>1</xdr:row>
      <xdr:rowOff>144780</xdr:rowOff>
    </xdr:from>
    <xdr:to>
      <xdr:col>17</xdr:col>
      <xdr:colOff>60960</xdr:colOff>
      <xdr:row>3</xdr:row>
      <xdr:rowOff>167640</xdr:rowOff>
    </xdr:to>
    <xdr:sp macro="" textlink="">
      <xdr:nvSpPr>
        <xdr:cNvPr id="42" name="Rectangle: Rounded Corners 41">
          <a:hlinkClick xmlns:r="http://schemas.openxmlformats.org/officeDocument/2006/relationships" r:id="rId7"/>
          <a:extLst>
            <a:ext uri="{FF2B5EF4-FFF2-40B4-BE49-F238E27FC236}">
              <a16:creationId xmlns:a16="http://schemas.microsoft.com/office/drawing/2014/main" id="{46AEE70B-F20B-4767-9690-8AF0B91F1313}"/>
            </a:ext>
          </a:extLst>
        </xdr:cNvPr>
        <xdr:cNvSpPr/>
      </xdr:nvSpPr>
      <xdr:spPr>
        <a:xfrm>
          <a:off x="9212580" y="327660"/>
          <a:ext cx="1211580" cy="388620"/>
        </a:xfrm>
        <a:prstGeom prst="roundRect">
          <a:avLst/>
        </a:prstGeom>
        <a:solidFill>
          <a:schemeClr val="tx2">
            <a:lumMod val="20000"/>
            <a:lumOff val="80000"/>
          </a:schemeClr>
        </a:solidFill>
        <a:ln>
          <a:solidFill>
            <a:schemeClr val="tx2">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2"/>
              </a:solidFill>
              <a:latin typeface="Arial Black" panose="020B0A04020102020204" pitchFamily="34" charset="0"/>
            </a:rPr>
            <a:t>Contact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243840</xdr:colOff>
      <xdr:row>3</xdr:row>
      <xdr:rowOff>26670</xdr:rowOff>
    </xdr:from>
    <xdr:to>
      <xdr:col>11</xdr:col>
      <xdr:colOff>548640</xdr:colOff>
      <xdr:row>18</xdr:row>
      <xdr:rowOff>26670</xdr:rowOff>
    </xdr:to>
    <xdr:graphicFrame macro="">
      <xdr:nvGraphicFramePr>
        <xdr:cNvPr id="2" name="Chart 1">
          <a:extLst>
            <a:ext uri="{FF2B5EF4-FFF2-40B4-BE49-F238E27FC236}">
              <a16:creationId xmlns:a16="http://schemas.microsoft.com/office/drawing/2014/main" id="{755BFE77-EBD8-6C88-E5BA-CAEF2B954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198120</xdr:colOff>
      <xdr:row>4</xdr:row>
      <xdr:rowOff>156210</xdr:rowOff>
    </xdr:from>
    <xdr:to>
      <xdr:col>11</xdr:col>
      <xdr:colOff>502920</xdr:colOff>
      <xdr:row>19</xdr:row>
      <xdr:rowOff>156210</xdr:rowOff>
    </xdr:to>
    <xdr:graphicFrame macro="">
      <xdr:nvGraphicFramePr>
        <xdr:cNvPr id="2" name="Chart 1">
          <a:extLst>
            <a:ext uri="{FF2B5EF4-FFF2-40B4-BE49-F238E27FC236}">
              <a16:creationId xmlns:a16="http://schemas.microsoft.com/office/drawing/2014/main" id="{8C99EF1F-EA83-6BFC-49FC-E676ACF7F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342900</xdr:colOff>
      <xdr:row>4</xdr:row>
      <xdr:rowOff>91441</xdr:rowOff>
    </xdr:from>
    <xdr:to>
      <xdr:col>15</xdr:col>
      <xdr:colOff>342900</xdr:colOff>
      <xdr:row>11</xdr:row>
      <xdr:rowOff>152401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E3D5993-E2F7-635C-7292-383FC9F4CE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30540" y="82296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12</xdr:row>
      <xdr:rowOff>152401</xdr:rowOff>
    </xdr:from>
    <xdr:to>
      <xdr:col>15</xdr:col>
      <xdr:colOff>365760</xdr:colOff>
      <xdr:row>18</xdr:row>
      <xdr:rowOff>68581</xdr:rowOff>
    </xdr:to>
    <mc:AlternateContent xmlns:mc="http://schemas.openxmlformats.org/markup-compatibility/2006">
      <mc:Choice xmlns:a14="http://schemas.microsoft.com/office/drawing/2010/main" Requires="a14">
        <xdr:graphicFrame macro="">
          <xdr:nvGraphicFramePr>
            <xdr:cNvPr id="4" name="Customer_Type">
              <a:extLst>
                <a:ext uri="{FF2B5EF4-FFF2-40B4-BE49-F238E27FC236}">
                  <a16:creationId xmlns:a16="http://schemas.microsoft.com/office/drawing/2014/main" id="{6CD3357A-B8D1-2B99-6AB5-6B51A93E30F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8153400" y="2346961"/>
              <a:ext cx="182880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175260</xdr:colOff>
      <xdr:row>2</xdr:row>
      <xdr:rowOff>19050</xdr:rowOff>
    </xdr:from>
    <xdr:to>
      <xdr:col>10</xdr:col>
      <xdr:colOff>480060</xdr:colOff>
      <xdr:row>17</xdr:row>
      <xdr:rowOff>19050</xdr:rowOff>
    </xdr:to>
    <xdr:graphicFrame macro="">
      <xdr:nvGraphicFramePr>
        <xdr:cNvPr id="2" name="Chart 1">
          <a:extLst>
            <a:ext uri="{FF2B5EF4-FFF2-40B4-BE49-F238E27FC236}">
              <a16:creationId xmlns:a16="http://schemas.microsoft.com/office/drawing/2014/main" id="{FE28F4DC-7B17-690A-1C42-FFAED4A56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3</xdr:row>
      <xdr:rowOff>114301</xdr:rowOff>
    </xdr:from>
    <xdr:to>
      <xdr:col>14</xdr:col>
      <xdr:colOff>358140</xdr:colOff>
      <xdr:row>11</xdr:row>
      <xdr:rowOff>160021</xdr:rowOff>
    </xdr:to>
    <mc:AlternateContent xmlns:mc="http://schemas.openxmlformats.org/markup-compatibility/2006">
      <mc:Choice xmlns:a14="http://schemas.microsoft.com/office/drawing/2010/main" Requires="a14">
        <xdr:graphicFrame macro="">
          <xdr:nvGraphicFramePr>
            <xdr:cNvPr id="3" name="Payment_Mode">
              <a:extLst>
                <a:ext uri="{FF2B5EF4-FFF2-40B4-BE49-F238E27FC236}">
                  <a16:creationId xmlns:a16="http://schemas.microsoft.com/office/drawing/2014/main" id="{49E222E5-AE7C-3D63-8B20-520209AECE7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7696200" y="66294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586740</xdr:colOff>
      <xdr:row>2</xdr:row>
      <xdr:rowOff>57150</xdr:rowOff>
    </xdr:from>
    <xdr:to>
      <xdr:col>11</xdr:col>
      <xdr:colOff>281940</xdr:colOff>
      <xdr:row>17</xdr:row>
      <xdr:rowOff>57150</xdr:rowOff>
    </xdr:to>
    <xdr:graphicFrame macro="">
      <xdr:nvGraphicFramePr>
        <xdr:cNvPr id="2" name="Chart 1">
          <a:extLst>
            <a:ext uri="{FF2B5EF4-FFF2-40B4-BE49-F238E27FC236}">
              <a16:creationId xmlns:a16="http://schemas.microsoft.com/office/drawing/2014/main" id="{8FFF67F1-9783-2CA7-9FDC-DFB7494F5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601980</xdr:colOff>
      <xdr:row>3</xdr:row>
      <xdr:rowOff>60960</xdr:rowOff>
    </xdr:from>
    <xdr:to>
      <xdr:col>16</xdr:col>
      <xdr:colOff>236220</xdr:colOff>
      <xdr:row>9</xdr:row>
      <xdr:rowOff>160020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158ED32E-6E13-C899-BD2B-95D747A7259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749540" y="609600"/>
              <a:ext cx="2682240" cy="11963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1</xdr:row>
      <xdr:rowOff>167640</xdr:rowOff>
    </xdr:from>
    <xdr:to>
      <xdr:col>10</xdr:col>
      <xdr:colOff>83820</xdr:colOff>
      <xdr:row>16</xdr:row>
      <xdr:rowOff>49530</xdr:rowOff>
    </xdr:to>
    <xdr:graphicFrame macro="">
      <xdr:nvGraphicFramePr>
        <xdr:cNvPr id="2" name="Chart 1">
          <a:extLst>
            <a:ext uri="{FF2B5EF4-FFF2-40B4-BE49-F238E27FC236}">
              <a16:creationId xmlns:a16="http://schemas.microsoft.com/office/drawing/2014/main" id="{7FCB78AE-92F8-BA4A-D304-634D52B83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335280</xdr:colOff>
      <xdr:row>6</xdr:row>
      <xdr:rowOff>152401</xdr:rowOff>
    </xdr:from>
    <xdr:to>
      <xdr:col>13</xdr:col>
      <xdr:colOff>335280</xdr:colOff>
      <xdr:row>15</xdr:row>
      <xdr:rowOff>38101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E761837-4F47-FFF9-F300-C860AC97D9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73240" y="124968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shi Jalan" refreshedDate="46283.592290509259" createdVersion="8" refreshedVersion="8" minRefreshableVersion="3" recordCount="24" xr:uid="{35E1EAC9-899F-4901-B8FB-141307C7EE0B}">
  <cacheSource type="worksheet">
    <worksheetSource ref="A1:L25" sheet="Sales Data"/>
  </cacheSource>
  <cacheFields count="13">
    <cacheField name="Order_ID" numFmtId="0">
      <sharedItems/>
    </cacheField>
    <cacheField name="Order_Date" numFmtId="14">
      <sharedItems containsSemiMixedTypes="0" containsNonDate="0" containsDate="1" containsString="0" minDate="2025-01-05T00:00:00" maxDate="2025-06-27T00:00:00" count="24">
        <d v="2025-01-05T00:00:00"/>
        <d v="2025-01-08T00:00:00"/>
        <d v="2025-01-12T00:00:00"/>
        <d v="2025-01-18T00:00:00"/>
        <d v="2025-02-03T00:00:00"/>
        <d v="2025-02-07T00:00:00"/>
        <d v="2025-02-14T00:00:00"/>
        <d v="2025-02-20T00:00:00"/>
        <d v="2025-03-02T00:00:00"/>
        <d v="2025-03-06T00:00:00"/>
        <d v="2025-03-15T00:00:00"/>
        <d v="2025-03-22T00:00:00"/>
        <d v="2025-04-04T00:00:00"/>
        <d v="2025-04-09T00:00:00"/>
        <d v="2025-04-17T00:00:00"/>
        <d v="2025-04-25T00:00:00"/>
        <d v="2025-05-03T00:00:00"/>
        <d v="2025-05-11T00:00:00"/>
        <d v="2025-05-19T00:00:00"/>
        <d v="2025-05-27T00:00:00"/>
        <d v="2025-06-02T00:00:00"/>
        <d v="2025-06-10T00:00:00"/>
        <d v="2025-06-18T00:00:00"/>
        <d v="2025-06-26T00:00:00"/>
      </sharedItems>
      <fieldGroup par="12"/>
    </cacheField>
    <cacheField name="Region" numFmtId="0">
      <sharedItems count="4">
        <s v="North"/>
        <s v="South"/>
        <s v="West"/>
        <s v="East"/>
      </sharedItems>
    </cacheField>
    <cacheField name="City" numFmtId="0">
      <sharedItems/>
    </cacheField>
    <cacheField name="Category" numFmtId="0">
      <sharedItems count="3">
        <s v="Electronics"/>
        <s v="Furniture"/>
        <s v="Clothing"/>
      </sharedItems>
    </cacheField>
    <cacheField name="Product" numFmtId="0">
      <sharedItems/>
    </cacheField>
    <cacheField name="Sales" numFmtId="3">
      <sharedItems containsSemiMixedTypes="0" containsString="0" containsNumber="1" containsInteger="1" minValue="1500" maxValue="55000"/>
    </cacheField>
    <cacheField name="Quantity" numFmtId="0">
      <sharedItems containsSemiMixedTypes="0" containsString="0" containsNumber="1" containsInteger="1" minValue="1" maxValue="5"/>
    </cacheField>
    <cacheField name="Discount" numFmtId="9">
      <sharedItems containsSemiMixedTypes="0" containsString="0" containsNumber="1" minValue="0.05" maxValue="0.25"/>
    </cacheField>
    <cacheField name="Profit" numFmtId="3">
      <sharedItems containsSemiMixedTypes="0" containsString="0" containsNumber="1" containsInteger="1" minValue="225" maxValue="5500" count="22">
        <n v="720"/>
        <n v="1275"/>
        <n v="264"/>
        <n v="360"/>
        <n v="640"/>
        <n v="1875"/>
        <n v="560"/>
        <n v="300"/>
        <n v="1020"/>
        <n v="225"/>
        <n v="2700"/>
        <n v="420"/>
        <n v="950"/>
        <n v="1100"/>
        <n v="930"/>
        <n v="510"/>
        <n v="575"/>
        <n v="5500"/>
        <n v="1035"/>
        <n v="1950"/>
        <n v="590"/>
        <n v="750"/>
      </sharedItems>
    </cacheField>
    <cacheField name="Payment_Mode" numFmtId="0">
      <sharedItems count="4">
        <s v="UPI"/>
        <s v="Credit Card"/>
        <s v="Cash"/>
        <s v="Debit Card"/>
      </sharedItems>
    </cacheField>
    <cacheField name="Customer_Type" numFmtId="0">
      <sharedItems count="2">
        <s v="Returning"/>
        <s v="New"/>
      </sharedItems>
    </cacheField>
    <cacheField name="Months (Order_Date)" numFmtId="0" databaseField="0">
      <fieldGroup base="1">
        <rangePr groupBy="months" startDate="2025-01-05T00:00:00" endDate="2025-06-27T00:00:00"/>
        <groupItems count="14">
          <s v="&lt;05-01-2025"/>
          <s v="Jan"/>
          <s v="Feb"/>
          <s v="Mar"/>
          <s v="Apr"/>
          <s v="May"/>
          <s v="Jun"/>
          <s v="Jul"/>
          <s v="Aug"/>
          <s v="Sep"/>
          <s v="Oct"/>
          <s v="Nov"/>
          <s v="Dec"/>
          <s v="&gt;27-06-2025"/>
        </groupItems>
      </fieldGroup>
    </cacheField>
  </cacheFields>
  <extLst>
    <ext xmlns:x14="http://schemas.microsoft.com/office/spreadsheetml/2009/9/main" uri="{725AE2AE-9491-48be-B2B4-4EB974FC3084}">
      <x14:pivotCacheDefinition pivotCacheId="310888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ORD001"/>
    <x v="0"/>
    <x v="0"/>
    <s v="Delhi"/>
    <x v="0"/>
    <s v="Headphones"/>
    <n v="4500"/>
    <n v="2"/>
    <n v="0.1"/>
    <x v="0"/>
    <x v="0"/>
    <x v="0"/>
  </r>
  <r>
    <s v="ORD002"/>
    <x v="1"/>
    <x v="1"/>
    <s v="Bengaluru"/>
    <x v="1"/>
    <s v="Office Chair"/>
    <n v="8500"/>
    <n v="1"/>
    <n v="0.05"/>
    <x v="1"/>
    <x v="1"/>
    <x v="1"/>
  </r>
  <r>
    <s v="ORD003"/>
    <x v="2"/>
    <x v="2"/>
    <s v="Mumbai"/>
    <x v="0"/>
    <s v="Keyboard"/>
    <n v="2200"/>
    <n v="3"/>
    <n v="0.15"/>
    <x v="2"/>
    <x v="0"/>
    <x v="0"/>
  </r>
  <r>
    <s v="ORD004"/>
    <x v="3"/>
    <x v="3"/>
    <s v="Kolkata"/>
    <x v="2"/>
    <s v="T-Shirt"/>
    <n v="1800"/>
    <n v="4"/>
    <n v="0.1"/>
    <x v="3"/>
    <x v="2"/>
    <x v="1"/>
  </r>
  <r>
    <s v="ORD005"/>
    <x v="4"/>
    <x v="0"/>
    <s v="Delhi"/>
    <x v="1"/>
    <s v="Study Table"/>
    <n v="7200"/>
    <n v="1"/>
    <n v="0.2"/>
    <x v="0"/>
    <x v="1"/>
    <x v="0"/>
  </r>
  <r>
    <s v="ORD006"/>
    <x v="5"/>
    <x v="1"/>
    <s v="Chennai"/>
    <x v="2"/>
    <s v="Jeans"/>
    <n v="3200"/>
    <n v="2"/>
    <n v="0.05"/>
    <x v="4"/>
    <x v="0"/>
    <x v="1"/>
  </r>
  <r>
    <s v="ORD007"/>
    <x v="6"/>
    <x v="2"/>
    <s v="Pune"/>
    <x v="0"/>
    <s v="Monitor"/>
    <n v="12500"/>
    <n v="1"/>
    <n v="0.1"/>
    <x v="5"/>
    <x v="3"/>
    <x v="0"/>
  </r>
  <r>
    <s v="ORD008"/>
    <x v="7"/>
    <x v="3"/>
    <s v="Kolkata"/>
    <x v="2"/>
    <s v="Jacket"/>
    <n v="5600"/>
    <n v="2"/>
    <n v="0.15"/>
    <x v="6"/>
    <x v="0"/>
    <x v="0"/>
  </r>
  <r>
    <s v="ORD009"/>
    <x v="8"/>
    <x v="0"/>
    <s v="Jaipur"/>
    <x v="0"/>
    <s v="Mouse"/>
    <n v="1500"/>
    <n v="5"/>
    <n v="0.05"/>
    <x v="7"/>
    <x v="2"/>
    <x v="1"/>
  </r>
  <r>
    <s v="ORD010"/>
    <x v="9"/>
    <x v="1"/>
    <s v="Bengaluru"/>
    <x v="1"/>
    <s v="Bookshelf"/>
    <n v="6800"/>
    <n v="1"/>
    <n v="0.1"/>
    <x v="8"/>
    <x v="1"/>
    <x v="0"/>
  </r>
  <r>
    <s v="ORD011"/>
    <x v="10"/>
    <x v="2"/>
    <s v="Mumbai"/>
    <x v="2"/>
    <s v="Shoes"/>
    <n v="4500"/>
    <n v="2"/>
    <n v="0.2"/>
    <x v="9"/>
    <x v="0"/>
    <x v="1"/>
  </r>
  <r>
    <s v="ORD012"/>
    <x v="11"/>
    <x v="3"/>
    <s v="Bhubaneswar"/>
    <x v="0"/>
    <s v="Tablet"/>
    <n v="18000"/>
    <n v="1"/>
    <n v="0.1"/>
    <x v="10"/>
    <x v="1"/>
    <x v="0"/>
  </r>
  <r>
    <s v="ORD013"/>
    <x v="12"/>
    <x v="0"/>
    <s v="Delhi"/>
    <x v="2"/>
    <s v="Shirt"/>
    <n v="2100"/>
    <n v="3"/>
    <n v="0.05"/>
    <x v="11"/>
    <x v="0"/>
    <x v="1"/>
  </r>
  <r>
    <s v="ORD014"/>
    <x v="13"/>
    <x v="1"/>
    <s v="Hyderabad"/>
    <x v="0"/>
    <s v="Smartwatch"/>
    <n v="9500"/>
    <n v="1"/>
    <n v="0.15"/>
    <x v="12"/>
    <x v="3"/>
    <x v="0"/>
  </r>
  <r>
    <s v="ORD015"/>
    <x v="14"/>
    <x v="2"/>
    <s v="Pune"/>
    <x v="1"/>
    <s v="Sofa"/>
    <n v="22000"/>
    <n v="1"/>
    <n v="0.25"/>
    <x v="13"/>
    <x v="1"/>
    <x v="1"/>
  </r>
  <r>
    <s v="ORD016"/>
    <x v="15"/>
    <x v="3"/>
    <s v="Kolkata"/>
    <x v="2"/>
    <s v="Dress"/>
    <n v="4800"/>
    <n v="2"/>
    <n v="0.1"/>
    <x v="0"/>
    <x v="2"/>
    <x v="0"/>
  </r>
  <r>
    <s v="ORD017"/>
    <x v="16"/>
    <x v="0"/>
    <s v="Jaipur"/>
    <x v="0"/>
    <s v="Speaker"/>
    <n v="6200"/>
    <n v="2"/>
    <n v="0.05"/>
    <x v="14"/>
    <x v="0"/>
    <x v="0"/>
  </r>
  <r>
    <s v="ORD018"/>
    <x v="17"/>
    <x v="1"/>
    <s v="Bengaluru"/>
    <x v="2"/>
    <s v="Jeans"/>
    <n v="3400"/>
    <n v="2"/>
    <n v="0.1"/>
    <x v="15"/>
    <x v="1"/>
    <x v="1"/>
  </r>
  <r>
    <s v="ORD019"/>
    <x v="18"/>
    <x v="2"/>
    <s v="Mumbai"/>
    <x v="1"/>
    <s v="Office Desk"/>
    <n v="11500"/>
    <n v="1"/>
    <n v="0.2"/>
    <x v="16"/>
    <x v="3"/>
    <x v="0"/>
  </r>
  <r>
    <s v="ORD020"/>
    <x v="19"/>
    <x v="3"/>
    <s v="Bhubaneswar"/>
    <x v="0"/>
    <s v="Laptop"/>
    <n v="55000"/>
    <n v="1"/>
    <n v="0.15"/>
    <x v="17"/>
    <x v="1"/>
    <x v="1"/>
  </r>
  <r>
    <s v="ORD021"/>
    <x v="20"/>
    <x v="0"/>
    <s v="Delhi"/>
    <x v="1"/>
    <s v="Bookshelf"/>
    <n v="6900"/>
    <n v="1"/>
    <n v="0.05"/>
    <x v="18"/>
    <x v="0"/>
    <x v="0"/>
  </r>
  <r>
    <s v="ORD022"/>
    <x v="21"/>
    <x v="1"/>
    <s v="Chennai"/>
    <x v="0"/>
    <s v="Monitor"/>
    <n v="13000"/>
    <n v="1"/>
    <n v="0.1"/>
    <x v="19"/>
    <x v="1"/>
    <x v="0"/>
  </r>
  <r>
    <s v="ORD023"/>
    <x v="22"/>
    <x v="2"/>
    <s v="Pune"/>
    <x v="2"/>
    <s v="Jacket"/>
    <n v="5900"/>
    <n v="2"/>
    <n v="0.2"/>
    <x v="20"/>
    <x v="0"/>
    <x v="1"/>
  </r>
  <r>
    <s v="ORD024"/>
    <x v="23"/>
    <x v="3"/>
    <s v="Kolkata"/>
    <x v="1"/>
    <s v="Study Table"/>
    <n v="7500"/>
    <n v="1"/>
    <n v="0.15"/>
    <x v="21"/>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3250F-2CFB-4953-9FC5-2D927528E9FB}" name="PivotTable7"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13">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0"/>
        <item x="1"/>
        <item x="2"/>
        <item t="default"/>
      </items>
    </pivotField>
    <pivotField showAll="0"/>
    <pivotField axis="axisRow" showAll="0">
      <items count="4">
        <item x="2"/>
        <item x="0"/>
        <item x="1"/>
        <item t="default"/>
      </items>
    </pivotField>
    <pivotField showAll="0"/>
    <pivotField dataField="1" numFmtId="3" showAll="0"/>
    <pivotField showAll="0"/>
    <pivotField numFmtId="9" showAll="0"/>
    <pivotField numFmtId="3" showAll="0"/>
    <pivotField showAll="0">
      <items count="5">
        <item x="2"/>
        <item x="1"/>
        <item x="3"/>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Sales" fld="6"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5CD69-771E-4053-AE58-9CFA014794A1}" name="PivotTable8"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3">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0"/>
        <item x="1"/>
        <item x="2"/>
        <item t="default"/>
      </items>
    </pivotField>
    <pivotField showAll="0"/>
    <pivotField axis="axisRow" showAll="0">
      <items count="4">
        <item x="2"/>
        <item x="0"/>
        <item x="1"/>
        <item t="default"/>
      </items>
    </pivotField>
    <pivotField showAll="0"/>
    <pivotField numFmtId="3" showAll="0"/>
    <pivotField showAll="0"/>
    <pivotField numFmtId="9" showAll="0"/>
    <pivotField dataField="1" numFmtId="3" showAll="0">
      <items count="23">
        <item x="9"/>
        <item x="2"/>
        <item x="7"/>
        <item x="3"/>
        <item x="11"/>
        <item x="15"/>
        <item x="6"/>
        <item x="16"/>
        <item x="20"/>
        <item x="4"/>
        <item x="0"/>
        <item x="21"/>
        <item x="14"/>
        <item x="12"/>
        <item x="8"/>
        <item x="18"/>
        <item x="13"/>
        <item x="1"/>
        <item x="5"/>
        <item x="19"/>
        <item x="10"/>
        <item x="17"/>
        <item t="default"/>
      </items>
    </pivotField>
    <pivotField showAll="0">
      <items count="5">
        <item x="2"/>
        <item x="1"/>
        <item x="3"/>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Profit" fld="9" baseField="0" baseItem="0" numFmtId="3"/>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A2EE07-5E42-4A3C-BB06-627EB74EDDCE}" name="PivotTable9"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13">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0"/>
        <item x="1"/>
        <item x="2"/>
        <item t="default"/>
      </items>
    </pivotField>
    <pivotField showAll="0"/>
    <pivotField showAll="0">
      <items count="4">
        <item x="2"/>
        <item x="0"/>
        <item x="1"/>
        <item t="default"/>
      </items>
    </pivotField>
    <pivotField showAll="0"/>
    <pivotField numFmtId="3" showAll="0"/>
    <pivotField showAll="0"/>
    <pivotField numFmtId="9" showAll="0"/>
    <pivotField numFmtId="3" showAll="0"/>
    <pivotField axis="axisRow" showAll="0">
      <items count="5">
        <item x="2"/>
        <item x="1"/>
        <item x="3"/>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Count of Orders" fld="0" subtotal="count" baseField="1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311B0D-FF12-4145-A24F-E5F5620C7445}" name="PivotTable6"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0" firstHeaderRow="1" firstDataRow="1" firstDataCol="1"/>
  <pivotFields count="13">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0"/>
        <item x="1"/>
        <item x="2"/>
        <item t="default"/>
      </items>
    </pivotField>
    <pivotField showAll="0"/>
    <pivotField showAll="0">
      <items count="4">
        <item x="2"/>
        <item x="0"/>
        <item x="1"/>
        <item t="default"/>
      </items>
    </pivotField>
    <pivotField showAll="0"/>
    <pivotField dataField="1" numFmtId="3" showAll="0"/>
    <pivotField showAll="0"/>
    <pivotField numFmtId="9" showAll="0"/>
    <pivotField numFmtId="3" showAll="0"/>
    <pivotField showAll="0">
      <items count="5">
        <item x="2"/>
        <item x="1"/>
        <item x="3"/>
        <item x="0"/>
        <item t="default"/>
      </items>
    </pivotField>
    <pivotField showAll="0">
      <items count="3">
        <item x="1"/>
        <item x="0"/>
        <item t="default"/>
      </items>
    </pivotField>
    <pivotField axis="axisRow" showAll="0">
      <items count="15">
        <item x="0"/>
        <item x="1"/>
        <item x="2"/>
        <item x="3"/>
        <item x="4"/>
        <item x="5"/>
        <item x="6"/>
        <item x="7"/>
        <item x="8"/>
        <item x="9"/>
        <item x="10"/>
        <item x="11"/>
        <item x="12"/>
        <item x="13"/>
        <item t="default"/>
      </items>
    </pivotField>
  </pivotFields>
  <rowFields count="1">
    <field x="12"/>
  </rowFields>
  <rowItems count="7">
    <i>
      <x v="1"/>
    </i>
    <i>
      <x v="2"/>
    </i>
    <i>
      <x v="3"/>
    </i>
    <i>
      <x v="4"/>
    </i>
    <i>
      <x v="5"/>
    </i>
    <i>
      <x v="6"/>
    </i>
    <i t="grand">
      <x/>
    </i>
  </rowItems>
  <colItems count="1">
    <i/>
  </colItems>
  <dataFields count="1">
    <dataField name="Sum of Sales" fld="6"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ECC15C-34E3-435A-AD47-22657AD812FE}" name="PivotTable3"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3">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x="3"/>
        <item x="0"/>
        <item x="1"/>
        <item x="2"/>
        <item t="default"/>
      </items>
    </pivotField>
    <pivotField showAll="0"/>
    <pivotField showAll="0">
      <items count="4">
        <item x="2"/>
        <item x="0"/>
        <item x="1"/>
        <item t="default"/>
      </items>
    </pivotField>
    <pivotField showAll="0"/>
    <pivotField dataField="1" numFmtId="3" showAll="0"/>
    <pivotField showAll="0"/>
    <pivotField numFmtId="9" showAll="0"/>
    <pivotField numFmtId="3" showAll="0"/>
    <pivotField showAll="0">
      <items count="5">
        <item x="2"/>
        <item x="1"/>
        <item x="3"/>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A7171C-E44E-4E86-BAFD-4B7CE33F64F6}" name="PivotTable10"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G4" firstHeaderRow="0" firstDataRow="1" firstDataCol="0"/>
  <pivotFields count="13">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0"/>
        <item x="1"/>
        <item x="2"/>
        <item t="default"/>
      </items>
    </pivotField>
    <pivotField showAll="0"/>
    <pivotField showAll="0">
      <items count="4">
        <item x="2"/>
        <item x="0"/>
        <item x="1"/>
        <item t="default"/>
      </items>
    </pivotField>
    <pivotField showAll="0"/>
    <pivotField dataField="1" numFmtId="3" showAll="0"/>
    <pivotField dataField="1" showAll="0"/>
    <pivotField numFmtId="9" showAll="0"/>
    <pivotField dataField="1" numFmtId="3" showAll="0"/>
    <pivotField showAll="0">
      <items count="5">
        <item x="2"/>
        <item x="1"/>
        <item x="3"/>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Sum of Sales" fld="6" baseField="0" baseItem="0" numFmtId="3"/>
    <dataField name="Sum of Quantity" fld="7" baseField="0" baseItem="0"/>
    <dataField name="Sum of Profit" fld="9" baseField="0" baseItem="0" numFmtId="3"/>
    <dataField name="Count of Order_ID" fld="0" subtotal="count" baseField="0" baseItem="0"/>
    <dataField name="Average Value order" fld="6" subtotal="average" baseField="0" baseItem="1" numFmtId="3"/>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ECA5F6-71EC-4F03-AC21-65AEE4A07AC6}" sourceName="Region">
  <pivotTables>
    <pivotTable tabId="3" name="PivotTable3"/>
    <pivotTable tabId="12" name="PivotTable10"/>
    <pivotTable tabId="6" name="PivotTable6"/>
    <pivotTable tabId="9" name="PivotTable9"/>
    <pivotTable tabId="8" name="PivotTable8"/>
    <pivotTable tabId="7" name="PivotTable7"/>
  </pivotTables>
  <data>
    <tabular pivotCacheId="310888282">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703C9C-4843-4D70-8C2C-BF8AC44B5559}" sourceName="Category">
  <pivotTables>
    <pivotTable tabId="8" name="PivotTable8"/>
    <pivotTable tabId="12" name="PivotTable10"/>
    <pivotTable tabId="6" name="PivotTable6"/>
    <pivotTable tabId="9" name="PivotTable9"/>
    <pivotTable tabId="7" name="PivotTable7"/>
    <pivotTable tabId="3" name="PivotTable3"/>
  </pivotTables>
  <data>
    <tabular pivotCacheId="31088828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3DEAD5F-F5B4-4DFA-A368-9A7ACA288100}" sourceName="Payment_Mode">
  <pivotTables>
    <pivotTable tabId="9" name="PivotTable9"/>
    <pivotTable tabId="12" name="PivotTable10"/>
    <pivotTable tabId="6" name="PivotTable6"/>
    <pivotTable tabId="8" name="PivotTable8"/>
    <pivotTable tabId="7" name="PivotTable7"/>
    <pivotTable tabId="3" name="PivotTable3"/>
  </pivotTables>
  <data>
    <tabular pivotCacheId="310888282">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37DE16A-B080-49FC-8E73-326D6CAAB742}" sourceName="Customer_Type">
  <pivotTables>
    <pivotTable tabId="8" name="PivotTable8"/>
    <pivotTable tabId="12" name="PivotTable10"/>
    <pivotTable tabId="6" name="PivotTable6"/>
    <pivotTable tabId="9" name="PivotTable9"/>
    <pivotTable tabId="7" name="PivotTable7"/>
    <pivotTable tabId="3" name="PivotTable3"/>
  </pivotTables>
  <data>
    <tabular pivotCacheId="3108882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7C148AB-A47B-4721-BD13-F41C2541B84A}" cache="Slicer_Region" caption="Region" style="SlicerStyleDark1 2" rowHeight="234950"/>
  <slicer name="Category 1" xr10:uid="{73E5665C-E43A-4A97-ACAC-7709D273A90E}" cache="Slicer_Category" caption="Category" style="SlicerStyleDark1 2" rowHeight="234950"/>
  <slicer name="Payment_Mode 1" xr10:uid="{306B71D2-0A45-4C00-B492-E7C252B128CC}" cache="Slicer_Payment_Mode" caption="Payment Mode" style="SlicerStyleDark1 2" rowHeight="234950"/>
  <slicer name="Customer_Type 1" xr10:uid="{C43A09EC-321E-4B97-A91D-581E6A5CFDF6}" cache="Slicer_Customer_Type" caption="Customer Type" style="SlicerStyleDark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627E760-DB74-4598-BC21-E7A49B84AE30}" cache="Slicer_Category" caption="Category" rowHeight="234950"/>
  <slicer name="Customer_Type" xr10:uid="{E1CDC484-5ED3-43E7-873D-A8E0E0CBE33C}" cache="Slicer_Customer_Type" caption="Customer_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BB1D8F59-FC4B-46FB-8743-F3872B55B191}" cache="Slicer_Payment_Mode" caption="Payment_M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6A6969-B4D3-4FCA-B2D0-84B10378910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1BB75F-3926-422B-B9FA-25879DB79DEF}" sourceName="Order_Date">
  <pivotTables>
    <pivotTable tabId="6" name="PivotTable6"/>
    <pivotTable tabId="12" name="PivotTable10"/>
    <pivotTable tabId="9" name="PivotTable9"/>
    <pivotTable tabId="8" name="PivotTable8"/>
    <pivotTable tabId="7" name="PivotTable7"/>
    <pivotTable tabId="3" name="PivotTable3"/>
  </pivotTables>
  <state minimalRefreshVersion="6" lastRefreshVersion="6" pivotCacheId="31088828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E74A7DA-1714-463E-97FB-EE4B1C302799}" cache="NativeTimeline_Order_Date" caption="Order_Date" level="2" selectionLevel="2" scrollPosition="2025-01-01T00:00:00" style="TimeSlicerStyleDark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E66643F-E9C5-4397-9A30-7C43268329AF}" cache="NativeTimeline_Order_Date" caption="Order_Date" level="2" selectionLevel="2" scrollPosition="2025-06-06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workbookViewId="0">
      <pane ySplit="1" topLeftCell="A2" activePane="bottomLeft" state="frozen"/>
      <selection pane="bottomLeft"/>
    </sheetView>
  </sheetViews>
  <sheetFormatPr defaultRowHeight="14.4" x14ac:dyDescent="0.3"/>
  <cols>
    <col min="1" max="1" width="14.109375" bestFit="1" customWidth="1"/>
    <col min="2" max="2" width="16.5546875" bestFit="1" customWidth="1"/>
    <col min="3" max="3" width="12.33203125" bestFit="1" customWidth="1"/>
    <col min="4" max="4" width="13.33203125" bestFit="1" customWidth="1"/>
    <col min="5" max="5" width="14.33203125" bestFit="1" customWidth="1"/>
    <col min="6" max="6" width="13" bestFit="1" customWidth="1"/>
    <col min="7" max="7" width="10.77734375" bestFit="1" customWidth="1"/>
    <col min="8" max="8" width="13.6640625" bestFit="1" customWidth="1"/>
    <col min="9" max="9" width="14" bestFit="1" customWidth="1"/>
    <col min="10" max="10" width="10.6640625" bestFit="1" customWidth="1"/>
    <col min="11" max="11" width="20.6640625" bestFit="1" customWidth="1"/>
    <col min="12" max="12" width="21.1093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9">
        <v>45662</v>
      </c>
      <c r="C2" s="2" t="s">
        <v>13</v>
      </c>
      <c r="D2" s="2" t="s">
        <v>14</v>
      </c>
      <c r="E2" s="2" t="s">
        <v>15</v>
      </c>
      <c r="F2" s="2" t="s">
        <v>16</v>
      </c>
      <c r="G2" s="3">
        <v>4500</v>
      </c>
      <c r="H2" s="2">
        <v>2</v>
      </c>
      <c r="I2" s="4">
        <v>0.1</v>
      </c>
      <c r="J2" s="3">
        <v>720</v>
      </c>
      <c r="K2" s="2" t="s">
        <v>17</v>
      </c>
      <c r="L2" s="2" t="s">
        <v>18</v>
      </c>
    </row>
    <row r="3" spans="1:12" x14ac:dyDescent="0.3">
      <c r="A3" s="2" t="s">
        <v>19</v>
      </c>
      <c r="B3" s="9">
        <v>45665</v>
      </c>
      <c r="C3" s="2" t="s">
        <v>20</v>
      </c>
      <c r="D3" s="2" t="s">
        <v>21</v>
      </c>
      <c r="E3" s="2" t="s">
        <v>22</v>
      </c>
      <c r="F3" s="2" t="s">
        <v>23</v>
      </c>
      <c r="G3" s="3">
        <v>8500</v>
      </c>
      <c r="H3" s="2">
        <v>1</v>
      </c>
      <c r="I3" s="4">
        <v>0.05</v>
      </c>
      <c r="J3" s="3">
        <v>1275</v>
      </c>
      <c r="K3" s="2" t="s">
        <v>24</v>
      </c>
      <c r="L3" s="2" t="s">
        <v>25</v>
      </c>
    </row>
    <row r="4" spans="1:12" x14ac:dyDescent="0.3">
      <c r="A4" s="2" t="s">
        <v>26</v>
      </c>
      <c r="B4" s="9">
        <v>45669</v>
      </c>
      <c r="C4" s="2" t="s">
        <v>27</v>
      </c>
      <c r="D4" s="2" t="s">
        <v>28</v>
      </c>
      <c r="E4" s="2" t="s">
        <v>15</v>
      </c>
      <c r="F4" s="2" t="s">
        <v>29</v>
      </c>
      <c r="G4" s="3">
        <v>2200</v>
      </c>
      <c r="H4" s="2">
        <v>3</v>
      </c>
      <c r="I4" s="4">
        <v>0.15</v>
      </c>
      <c r="J4" s="3">
        <v>264</v>
      </c>
      <c r="K4" s="2" t="s">
        <v>17</v>
      </c>
      <c r="L4" s="2" t="s">
        <v>18</v>
      </c>
    </row>
    <row r="5" spans="1:12" x14ac:dyDescent="0.3">
      <c r="A5" s="2" t="s">
        <v>30</v>
      </c>
      <c r="B5" s="9">
        <v>45675</v>
      </c>
      <c r="C5" s="2" t="s">
        <v>31</v>
      </c>
      <c r="D5" s="2" t="s">
        <v>32</v>
      </c>
      <c r="E5" s="2" t="s">
        <v>33</v>
      </c>
      <c r="F5" s="2" t="s">
        <v>34</v>
      </c>
      <c r="G5" s="3">
        <v>1800</v>
      </c>
      <c r="H5" s="2">
        <v>4</v>
      </c>
      <c r="I5" s="4">
        <v>0.1</v>
      </c>
      <c r="J5" s="3">
        <v>360</v>
      </c>
      <c r="K5" s="2" t="s">
        <v>35</v>
      </c>
      <c r="L5" s="2" t="s">
        <v>25</v>
      </c>
    </row>
    <row r="6" spans="1:12" x14ac:dyDescent="0.3">
      <c r="A6" s="2" t="s">
        <v>36</v>
      </c>
      <c r="B6" s="9">
        <v>45691</v>
      </c>
      <c r="C6" s="2" t="s">
        <v>13</v>
      </c>
      <c r="D6" s="2" t="s">
        <v>14</v>
      </c>
      <c r="E6" s="2" t="s">
        <v>22</v>
      </c>
      <c r="F6" s="2" t="s">
        <v>37</v>
      </c>
      <c r="G6" s="3">
        <v>7200</v>
      </c>
      <c r="H6" s="2">
        <v>1</v>
      </c>
      <c r="I6" s="4">
        <v>0.2</v>
      </c>
      <c r="J6" s="3">
        <v>720</v>
      </c>
      <c r="K6" s="2" t="s">
        <v>24</v>
      </c>
      <c r="L6" s="2" t="s">
        <v>18</v>
      </c>
    </row>
    <row r="7" spans="1:12" x14ac:dyDescent="0.3">
      <c r="A7" s="2" t="s">
        <v>38</v>
      </c>
      <c r="B7" s="9">
        <v>45695</v>
      </c>
      <c r="C7" s="2" t="s">
        <v>20</v>
      </c>
      <c r="D7" s="2" t="s">
        <v>39</v>
      </c>
      <c r="E7" s="2" t="s">
        <v>33</v>
      </c>
      <c r="F7" s="2" t="s">
        <v>40</v>
      </c>
      <c r="G7" s="3">
        <v>3200</v>
      </c>
      <c r="H7" s="2">
        <v>2</v>
      </c>
      <c r="I7" s="4">
        <v>0.05</v>
      </c>
      <c r="J7" s="3">
        <v>640</v>
      </c>
      <c r="K7" s="2" t="s">
        <v>17</v>
      </c>
      <c r="L7" s="2" t="s">
        <v>25</v>
      </c>
    </row>
    <row r="8" spans="1:12" x14ac:dyDescent="0.3">
      <c r="A8" s="2" t="s">
        <v>41</v>
      </c>
      <c r="B8" s="9">
        <v>45702</v>
      </c>
      <c r="C8" s="2" t="s">
        <v>27</v>
      </c>
      <c r="D8" s="2" t="s">
        <v>42</v>
      </c>
      <c r="E8" s="2" t="s">
        <v>15</v>
      </c>
      <c r="F8" s="2" t="s">
        <v>43</v>
      </c>
      <c r="G8" s="3">
        <v>12500</v>
      </c>
      <c r="H8" s="2">
        <v>1</v>
      </c>
      <c r="I8" s="4">
        <v>0.1</v>
      </c>
      <c r="J8" s="3">
        <v>1875</v>
      </c>
      <c r="K8" s="2" t="s">
        <v>44</v>
      </c>
      <c r="L8" s="2" t="s">
        <v>18</v>
      </c>
    </row>
    <row r="9" spans="1:12" x14ac:dyDescent="0.3">
      <c r="A9" s="2" t="s">
        <v>45</v>
      </c>
      <c r="B9" s="9">
        <v>45708</v>
      </c>
      <c r="C9" s="2" t="s">
        <v>31</v>
      </c>
      <c r="D9" s="2" t="s">
        <v>32</v>
      </c>
      <c r="E9" s="2" t="s">
        <v>33</v>
      </c>
      <c r="F9" s="2" t="s">
        <v>46</v>
      </c>
      <c r="G9" s="3">
        <v>5600</v>
      </c>
      <c r="H9" s="2">
        <v>2</v>
      </c>
      <c r="I9" s="4">
        <v>0.15</v>
      </c>
      <c r="J9" s="3">
        <v>560</v>
      </c>
      <c r="K9" s="2" t="s">
        <v>17</v>
      </c>
      <c r="L9" s="2" t="s">
        <v>18</v>
      </c>
    </row>
    <row r="10" spans="1:12" x14ac:dyDescent="0.3">
      <c r="A10" s="2" t="s">
        <v>47</v>
      </c>
      <c r="B10" s="9">
        <v>45718</v>
      </c>
      <c r="C10" s="2" t="s">
        <v>13</v>
      </c>
      <c r="D10" s="2" t="s">
        <v>48</v>
      </c>
      <c r="E10" s="2" t="s">
        <v>15</v>
      </c>
      <c r="F10" s="2" t="s">
        <v>49</v>
      </c>
      <c r="G10" s="3">
        <v>1500</v>
      </c>
      <c r="H10" s="2">
        <v>5</v>
      </c>
      <c r="I10" s="4">
        <v>0.05</v>
      </c>
      <c r="J10" s="3">
        <v>300</v>
      </c>
      <c r="K10" s="2" t="s">
        <v>35</v>
      </c>
      <c r="L10" s="2" t="s">
        <v>25</v>
      </c>
    </row>
    <row r="11" spans="1:12" x14ac:dyDescent="0.3">
      <c r="A11" s="2" t="s">
        <v>50</v>
      </c>
      <c r="B11" s="9">
        <v>45722</v>
      </c>
      <c r="C11" s="2" t="s">
        <v>20</v>
      </c>
      <c r="D11" s="2" t="s">
        <v>21</v>
      </c>
      <c r="E11" s="2" t="s">
        <v>22</v>
      </c>
      <c r="F11" s="2" t="s">
        <v>51</v>
      </c>
      <c r="G11" s="3">
        <v>6800</v>
      </c>
      <c r="H11" s="2">
        <v>1</v>
      </c>
      <c r="I11" s="4">
        <v>0.1</v>
      </c>
      <c r="J11" s="3">
        <v>1020</v>
      </c>
      <c r="K11" s="2" t="s">
        <v>24</v>
      </c>
      <c r="L11" s="2" t="s">
        <v>18</v>
      </c>
    </row>
    <row r="12" spans="1:12" x14ac:dyDescent="0.3">
      <c r="A12" s="2" t="s">
        <v>52</v>
      </c>
      <c r="B12" s="9">
        <v>45731</v>
      </c>
      <c r="C12" s="2" t="s">
        <v>27</v>
      </c>
      <c r="D12" s="2" t="s">
        <v>28</v>
      </c>
      <c r="E12" s="2" t="s">
        <v>33</v>
      </c>
      <c r="F12" s="2" t="s">
        <v>53</v>
      </c>
      <c r="G12" s="3">
        <v>4500</v>
      </c>
      <c r="H12" s="2">
        <v>2</v>
      </c>
      <c r="I12" s="4">
        <v>0.2</v>
      </c>
      <c r="J12" s="3">
        <v>225</v>
      </c>
      <c r="K12" s="2" t="s">
        <v>17</v>
      </c>
      <c r="L12" s="2" t="s">
        <v>25</v>
      </c>
    </row>
    <row r="13" spans="1:12" x14ac:dyDescent="0.3">
      <c r="A13" s="2" t="s">
        <v>54</v>
      </c>
      <c r="B13" s="9">
        <v>45738</v>
      </c>
      <c r="C13" s="2" t="s">
        <v>31</v>
      </c>
      <c r="D13" s="2" t="s">
        <v>55</v>
      </c>
      <c r="E13" s="2" t="s">
        <v>15</v>
      </c>
      <c r="F13" s="2" t="s">
        <v>56</v>
      </c>
      <c r="G13" s="3">
        <v>18000</v>
      </c>
      <c r="H13" s="2">
        <v>1</v>
      </c>
      <c r="I13" s="4">
        <v>0.1</v>
      </c>
      <c r="J13" s="3">
        <v>2700</v>
      </c>
      <c r="K13" s="2" t="s">
        <v>24</v>
      </c>
      <c r="L13" s="2" t="s">
        <v>18</v>
      </c>
    </row>
    <row r="14" spans="1:12" x14ac:dyDescent="0.3">
      <c r="A14" s="2" t="s">
        <v>57</v>
      </c>
      <c r="B14" s="9">
        <v>45751</v>
      </c>
      <c r="C14" s="2" t="s">
        <v>13</v>
      </c>
      <c r="D14" s="2" t="s">
        <v>14</v>
      </c>
      <c r="E14" s="2" t="s">
        <v>33</v>
      </c>
      <c r="F14" s="2" t="s">
        <v>58</v>
      </c>
      <c r="G14" s="3">
        <v>2100</v>
      </c>
      <c r="H14" s="2">
        <v>3</v>
      </c>
      <c r="I14" s="4">
        <v>0.05</v>
      </c>
      <c r="J14" s="3">
        <v>420</v>
      </c>
      <c r="K14" s="2" t="s">
        <v>17</v>
      </c>
      <c r="L14" s="2" t="s">
        <v>25</v>
      </c>
    </row>
    <row r="15" spans="1:12" x14ac:dyDescent="0.3">
      <c r="A15" s="2" t="s">
        <v>59</v>
      </c>
      <c r="B15" s="9">
        <v>45756</v>
      </c>
      <c r="C15" s="2" t="s">
        <v>20</v>
      </c>
      <c r="D15" s="2" t="s">
        <v>60</v>
      </c>
      <c r="E15" s="2" t="s">
        <v>15</v>
      </c>
      <c r="F15" s="2" t="s">
        <v>61</v>
      </c>
      <c r="G15" s="3">
        <v>9500</v>
      </c>
      <c r="H15" s="2">
        <v>1</v>
      </c>
      <c r="I15" s="4">
        <v>0.15</v>
      </c>
      <c r="J15" s="3">
        <v>950</v>
      </c>
      <c r="K15" s="2" t="s">
        <v>44</v>
      </c>
      <c r="L15" s="2" t="s">
        <v>18</v>
      </c>
    </row>
    <row r="16" spans="1:12" x14ac:dyDescent="0.3">
      <c r="A16" s="2" t="s">
        <v>62</v>
      </c>
      <c r="B16" s="9">
        <v>45764</v>
      </c>
      <c r="C16" s="2" t="s">
        <v>27</v>
      </c>
      <c r="D16" s="2" t="s">
        <v>42</v>
      </c>
      <c r="E16" s="2" t="s">
        <v>22</v>
      </c>
      <c r="F16" s="2" t="s">
        <v>63</v>
      </c>
      <c r="G16" s="3">
        <v>22000</v>
      </c>
      <c r="H16" s="2">
        <v>1</v>
      </c>
      <c r="I16" s="4">
        <v>0.25</v>
      </c>
      <c r="J16" s="3">
        <v>1100</v>
      </c>
      <c r="K16" s="2" t="s">
        <v>24</v>
      </c>
      <c r="L16" s="2" t="s">
        <v>25</v>
      </c>
    </row>
    <row r="17" spans="1:12" x14ac:dyDescent="0.3">
      <c r="A17" s="2" t="s">
        <v>64</v>
      </c>
      <c r="B17" s="9">
        <v>45772</v>
      </c>
      <c r="C17" s="2" t="s">
        <v>31</v>
      </c>
      <c r="D17" s="2" t="s">
        <v>32</v>
      </c>
      <c r="E17" s="2" t="s">
        <v>33</v>
      </c>
      <c r="F17" s="2" t="s">
        <v>65</v>
      </c>
      <c r="G17" s="3">
        <v>4800</v>
      </c>
      <c r="H17" s="2">
        <v>2</v>
      </c>
      <c r="I17" s="4">
        <v>0.1</v>
      </c>
      <c r="J17" s="3">
        <v>720</v>
      </c>
      <c r="K17" s="2" t="s">
        <v>35</v>
      </c>
      <c r="L17" s="2" t="s">
        <v>18</v>
      </c>
    </row>
    <row r="18" spans="1:12" x14ac:dyDescent="0.3">
      <c r="A18" s="2" t="s">
        <v>66</v>
      </c>
      <c r="B18" s="9">
        <v>45780</v>
      </c>
      <c r="C18" s="2" t="s">
        <v>13</v>
      </c>
      <c r="D18" s="2" t="s">
        <v>48</v>
      </c>
      <c r="E18" s="2" t="s">
        <v>15</v>
      </c>
      <c r="F18" s="2" t="s">
        <v>67</v>
      </c>
      <c r="G18" s="3">
        <v>6200</v>
      </c>
      <c r="H18" s="2">
        <v>2</v>
      </c>
      <c r="I18" s="4">
        <v>0.05</v>
      </c>
      <c r="J18" s="3">
        <v>930</v>
      </c>
      <c r="K18" s="2" t="s">
        <v>17</v>
      </c>
      <c r="L18" s="2" t="s">
        <v>18</v>
      </c>
    </row>
    <row r="19" spans="1:12" x14ac:dyDescent="0.3">
      <c r="A19" s="2" t="s">
        <v>68</v>
      </c>
      <c r="B19" s="9">
        <v>45788</v>
      </c>
      <c r="C19" s="2" t="s">
        <v>20</v>
      </c>
      <c r="D19" s="2" t="s">
        <v>21</v>
      </c>
      <c r="E19" s="2" t="s">
        <v>33</v>
      </c>
      <c r="F19" s="2" t="s">
        <v>40</v>
      </c>
      <c r="G19" s="3">
        <v>3400</v>
      </c>
      <c r="H19" s="2">
        <v>2</v>
      </c>
      <c r="I19" s="4">
        <v>0.1</v>
      </c>
      <c r="J19" s="3">
        <v>510</v>
      </c>
      <c r="K19" s="2" t="s">
        <v>24</v>
      </c>
      <c r="L19" s="2" t="s">
        <v>25</v>
      </c>
    </row>
    <row r="20" spans="1:12" x14ac:dyDescent="0.3">
      <c r="A20" s="2" t="s">
        <v>69</v>
      </c>
      <c r="B20" s="9">
        <v>45796</v>
      </c>
      <c r="C20" s="2" t="s">
        <v>27</v>
      </c>
      <c r="D20" s="2" t="s">
        <v>28</v>
      </c>
      <c r="E20" s="2" t="s">
        <v>22</v>
      </c>
      <c r="F20" s="2" t="s">
        <v>70</v>
      </c>
      <c r="G20" s="3">
        <v>11500</v>
      </c>
      <c r="H20" s="2">
        <v>1</v>
      </c>
      <c r="I20" s="4">
        <v>0.2</v>
      </c>
      <c r="J20" s="3">
        <v>575</v>
      </c>
      <c r="K20" s="2" t="s">
        <v>44</v>
      </c>
      <c r="L20" s="2" t="s">
        <v>18</v>
      </c>
    </row>
    <row r="21" spans="1:12" x14ac:dyDescent="0.3">
      <c r="A21" s="2" t="s">
        <v>71</v>
      </c>
      <c r="B21" s="9">
        <v>45804</v>
      </c>
      <c r="C21" s="2" t="s">
        <v>31</v>
      </c>
      <c r="D21" s="2" t="s">
        <v>55</v>
      </c>
      <c r="E21" s="2" t="s">
        <v>15</v>
      </c>
      <c r="F21" s="2" t="s">
        <v>72</v>
      </c>
      <c r="G21" s="3">
        <v>55000</v>
      </c>
      <c r="H21" s="2">
        <v>1</v>
      </c>
      <c r="I21" s="4">
        <v>0.15</v>
      </c>
      <c r="J21" s="3">
        <v>5500</v>
      </c>
      <c r="K21" s="2" t="s">
        <v>24</v>
      </c>
      <c r="L21" s="2" t="s">
        <v>25</v>
      </c>
    </row>
    <row r="22" spans="1:12" x14ac:dyDescent="0.3">
      <c r="A22" s="2" t="s">
        <v>73</v>
      </c>
      <c r="B22" s="9">
        <v>45810</v>
      </c>
      <c r="C22" s="2" t="s">
        <v>13</v>
      </c>
      <c r="D22" s="2" t="s">
        <v>14</v>
      </c>
      <c r="E22" s="2" t="s">
        <v>22</v>
      </c>
      <c r="F22" s="2" t="s">
        <v>51</v>
      </c>
      <c r="G22" s="3">
        <v>6900</v>
      </c>
      <c r="H22" s="2">
        <v>1</v>
      </c>
      <c r="I22" s="4">
        <v>0.05</v>
      </c>
      <c r="J22" s="3">
        <v>1035</v>
      </c>
      <c r="K22" s="2" t="s">
        <v>17</v>
      </c>
      <c r="L22" s="2" t="s">
        <v>18</v>
      </c>
    </row>
    <row r="23" spans="1:12" x14ac:dyDescent="0.3">
      <c r="A23" s="2" t="s">
        <v>74</v>
      </c>
      <c r="B23" s="9">
        <v>45818</v>
      </c>
      <c r="C23" s="2" t="s">
        <v>20</v>
      </c>
      <c r="D23" s="2" t="s">
        <v>39</v>
      </c>
      <c r="E23" s="2" t="s">
        <v>15</v>
      </c>
      <c r="F23" s="2" t="s">
        <v>43</v>
      </c>
      <c r="G23" s="3">
        <v>13000</v>
      </c>
      <c r="H23" s="2">
        <v>1</v>
      </c>
      <c r="I23" s="4">
        <v>0.1</v>
      </c>
      <c r="J23" s="3">
        <v>1950</v>
      </c>
      <c r="K23" s="2" t="s">
        <v>24</v>
      </c>
      <c r="L23" s="2" t="s">
        <v>18</v>
      </c>
    </row>
    <row r="24" spans="1:12" x14ac:dyDescent="0.3">
      <c r="A24" s="2" t="s">
        <v>75</v>
      </c>
      <c r="B24" s="9">
        <v>45826</v>
      </c>
      <c r="C24" s="2" t="s">
        <v>27</v>
      </c>
      <c r="D24" s="2" t="s">
        <v>42</v>
      </c>
      <c r="E24" s="2" t="s">
        <v>33</v>
      </c>
      <c r="F24" s="2" t="s">
        <v>46</v>
      </c>
      <c r="G24" s="3">
        <v>5900</v>
      </c>
      <c r="H24" s="2">
        <v>2</v>
      </c>
      <c r="I24" s="4">
        <v>0.2</v>
      </c>
      <c r="J24" s="3">
        <v>590</v>
      </c>
      <c r="K24" s="2" t="s">
        <v>17</v>
      </c>
      <c r="L24" s="2" t="s">
        <v>25</v>
      </c>
    </row>
    <row r="25" spans="1:12" x14ac:dyDescent="0.3">
      <c r="A25" s="2" t="s">
        <v>76</v>
      </c>
      <c r="B25" s="9">
        <v>45834</v>
      </c>
      <c r="C25" s="2" t="s">
        <v>31</v>
      </c>
      <c r="D25" s="2" t="s">
        <v>32</v>
      </c>
      <c r="E25" s="2" t="s">
        <v>22</v>
      </c>
      <c r="F25" s="2" t="s">
        <v>37</v>
      </c>
      <c r="G25" s="3">
        <v>7500</v>
      </c>
      <c r="H25" s="2">
        <v>1</v>
      </c>
      <c r="I25" s="4">
        <v>0.15</v>
      </c>
      <c r="J25" s="3">
        <v>750</v>
      </c>
      <c r="K25" s="2" t="s">
        <v>44</v>
      </c>
      <c r="L25" s="2" t="s">
        <v>18</v>
      </c>
    </row>
  </sheetData>
  <autoFilter ref="A1:L2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5830-B38B-4060-A439-C767E948608F}">
  <dimension ref="A1:AE55"/>
  <sheetViews>
    <sheetView showGridLines="0" showRowColHeaders="0" tabSelected="1" zoomScaleNormal="100" workbookViewId="0">
      <selection activeCell="U6" sqref="U6"/>
    </sheetView>
  </sheetViews>
  <sheetFormatPr defaultRowHeight="14.4" x14ac:dyDescent="0.3"/>
  <sheetData>
    <row r="1" spans="1:22" x14ac:dyDescent="0.3">
      <c r="A1" s="10"/>
      <c r="B1" s="10"/>
      <c r="C1" s="10"/>
      <c r="D1" s="11"/>
      <c r="E1" s="11"/>
      <c r="F1" s="11"/>
      <c r="G1" s="11"/>
      <c r="H1" s="11"/>
      <c r="I1" s="11"/>
      <c r="J1" s="11"/>
      <c r="K1" s="11"/>
      <c r="L1" s="11"/>
      <c r="M1" s="11"/>
      <c r="N1" s="11"/>
      <c r="O1" s="11"/>
      <c r="P1" s="11"/>
      <c r="Q1" s="11"/>
      <c r="R1" s="11"/>
      <c r="S1" s="18"/>
      <c r="T1" s="19"/>
      <c r="U1" s="19"/>
      <c r="V1" s="19"/>
    </row>
    <row r="2" spans="1:22" x14ac:dyDescent="0.3">
      <c r="A2" s="10"/>
      <c r="B2" s="10"/>
      <c r="C2" s="10"/>
      <c r="D2" s="11"/>
      <c r="E2" s="11"/>
      <c r="F2" s="11"/>
      <c r="G2" s="11"/>
      <c r="H2" s="11"/>
      <c r="I2" s="11"/>
      <c r="J2" s="11"/>
      <c r="K2" s="11"/>
      <c r="L2" s="11"/>
      <c r="M2" s="11"/>
      <c r="N2" s="11"/>
      <c r="O2" s="11"/>
      <c r="P2" s="11"/>
      <c r="Q2" s="11"/>
      <c r="R2" s="11"/>
      <c r="S2" s="19"/>
      <c r="T2" s="19"/>
      <c r="U2" s="19"/>
      <c r="V2" s="19"/>
    </row>
    <row r="3" spans="1:22" x14ac:dyDescent="0.3">
      <c r="A3" s="10"/>
      <c r="B3" s="10"/>
      <c r="C3" s="10"/>
      <c r="D3" s="11"/>
      <c r="E3" s="11"/>
      <c r="F3" s="11"/>
      <c r="G3" s="11"/>
      <c r="H3" s="11"/>
      <c r="I3" s="11"/>
      <c r="J3" s="11"/>
      <c r="K3" s="11"/>
      <c r="L3" s="11"/>
      <c r="M3" s="11"/>
      <c r="N3" s="11"/>
      <c r="O3" s="11"/>
      <c r="P3" s="11"/>
      <c r="Q3" s="11"/>
      <c r="R3" s="11"/>
      <c r="S3" s="19"/>
      <c r="T3" s="19"/>
      <c r="U3" s="19"/>
      <c r="V3" s="19"/>
    </row>
    <row r="4" spans="1:22" x14ac:dyDescent="0.3">
      <c r="A4" s="10"/>
      <c r="B4" s="10"/>
      <c r="C4" s="10"/>
      <c r="D4" s="11"/>
      <c r="E4" s="11"/>
      <c r="F4" s="11"/>
      <c r="G4" s="11"/>
      <c r="H4" s="11"/>
      <c r="I4" s="11"/>
      <c r="J4" s="11"/>
      <c r="K4" s="11"/>
      <c r="L4" s="11"/>
      <c r="M4" s="11"/>
      <c r="N4" s="11"/>
      <c r="O4" s="11"/>
      <c r="P4" s="11"/>
      <c r="Q4" s="11"/>
      <c r="R4" s="11"/>
      <c r="S4" s="19"/>
      <c r="T4" s="19"/>
      <c r="U4" s="19"/>
      <c r="V4" s="19"/>
    </row>
    <row r="5" spans="1:22" x14ac:dyDescent="0.3">
      <c r="A5" s="10"/>
      <c r="B5" s="10"/>
      <c r="C5" s="10"/>
      <c r="D5" s="11"/>
      <c r="E5" s="11"/>
      <c r="F5" s="11"/>
      <c r="G5" s="11"/>
      <c r="H5" s="11"/>
      <c r="I5" s="11"/>
      <c r="J5" s="11"/>
      <c r="K5" s="11"/>
      <c r="L5" s="11"/>
      <c r="M5" s="11"/>
      <c r="N5" s="11"/>
      <c r="O5" s="11"/>
      <c r="P5" s="11"/>
      <c r="Q5" s="11"/>
      <c r="R5" s="11"/>
      <c r="S5" s="19"/>
      <c r="T5" s="19"/>
      <c r="U5" s="19"/>
      <c r="V5" s="19"/>
    </row>
    <row r="6" spans="1:22" x14ac:dyDescent="0.3">
      <c r="A6" s="10"/>
      <c r="B6" s="10"/>
      <c r="C6" s="10"/>
      <c r="D6" s="11"/>
      <c r="E6" s="11"/>
      <c r="F6" s="11"/>
      <c r="G6" s="11"/>
      <c r="H6" s="11"/>
      <c r="I6" s="11"/>
      <c r="J6" s="11"/>
      <c r="K6" s="11"/>
      <c r="L6" s="11"/>
      <c r="M6" s="11"/>
      <c r="N6" s="11"/>
      <c r="O6" s="11"/>
      <c r="P6" s="11"/>
      <c r="Q6" s="11"/>
      <c r="R6" s="11"/>
      <c r="S6" s="19"/>
      <c r="T6" s="19"/>
      <c r="U6" s="19"/>
      <c r="V6" s="19"/>
    </row>
    <row r="7" spans="1:22" x14ac:dyDescent="0.3">
      <c r="A7" s="10"/>
      <c r="B7" s="10"/>
      <c r="C7" s="10"/>
      <c r="D7" s="11"/>
      <c r="E7" s="11"/>
      <c r="F7" s="11"/>
      <c r="G7" s="11"/>
      <c r="H7" s="11"/>
      <c r="I7" s="11"/>
      <c r="J7" s="11"/>
      <c r="K7" s="11"/>
      <c r="L7" s="11"/>
      <c r="M7" s="11"/>
      <c r="N7" s="11"/>
      <c r="O7" s="11"/>
      <c r="P7" s="11"/>
      <c r="Q7" s="11"/>
      <c r="R7" s="11"/>
      <c r="S7" s="19"/>
      <c r="T7" s="19"/>
      <c r="U7" s="19"/>
      <c r="V7" s="19"/>
    </row>
    <row r="8" spans="1:22" x14ac:dyDescent="0.3">
      <c r="A8" s="10"/>
      <c r="B8" s="10"/>
      <c r="C8" s="10"/>
      <c r="D8" s="11"/>
      <c r="E8" s="11"/>
      <c r="F8" s="11"/>
      <c r="G8" s="11"/>
      <c r="H8" s="11"/>
      <c r="I8" s="11"/>
      <c r="J8" s="11"/>
      <c r="K8" s="11"/>
      <c r="L8" s="11"/>
      <c r="M8" s="11"/>
      <c r="N8" s="11"/>
      <c r="O8" s="11"/>
      <c r="P8" s="11"/>
      <c r="Q8" s="11"/>
      <c r="R8" s="11"/>
      <c r="S8" s="19"/>
      <c r="T8" s="19"/>
      <c r="U8" s="19"/>
      <c r="V8" s="19"/>
    </row>
    <row r="9" spans="1:22" x14ac:dyDescent="0.3">
      <c r="A9" s="10"/>
      <c r="B9" s="10"/>
      <c r="C9" s="10"/>
      <c r="D9" s="11"/>
      <c r="E9" s="11"/>
      <c r="F9" s="11"/>
      <c r="G9" s="11"/>
      <c r="H9" s="11"/>
      <c r="I9" s="11"/>
      <c r="J9" s="11"/>
      <c r="K9" s="11"/>
      <c r="L9" s="11"/>
      <c r="M9" s="11"/>
      <c r="N9" s="11"/>
      <c r="O9" s="11"/>
      <c r="P9" s="11"/>
      <c r="Q9" s="11"/>
      <c r="R9" s="11"/>
      <c r="S9" s="19"/>
      <c r="T9" s="19"/>
      <c r="U9" s="19"/>
      <c r="V9" s="19"/>
    </row>
    <row r="10" spans="1:22" x14ac:dyDescent="0.3">
      <c r="A10" s="10"/>
      <c r="B10" s="10"/>
      <c r="C10" s="10"/>
      <c r="D10" s="11"/>
      <c r="E10" s="11"/>
      <c r="F10" s="11"/>
      <c r="G10" s="11"/>
      <c r="H10" s="11"/>
      <c r="I10" s="11"/>
      <c r="J10" s="11"/>
      <c r="K10" s="11"/>
      <c r="L10" s="11"/>
      <c r="M10" s="11"/>
      <c r="N10" s="11"/>
      <c r="O10" s="11"/>
      <c r="P10" s="11"/>
      <c r="Q10" s="11"/>
      <c r="R10" s="11"/>
      <c r="S10" s="19"/>
      <c r="T10" s="19"/>
      <c r="U10" s="19"/>
      <c r="V10" s="19"/>
    </row>
    <row r="11" spans="1:22" x14ac:dyDescent="0.3">
      <c r="A11" s="10"/>
      <c r="B11" s="10"/>
      <c r="C11" s="10"/>
      <c r="D11" s="11"/>
      <c r="E11" s="11"/>
      <c r="F11" s="11"/>
      <c r="G11" s="11"/>
      <c r="H11" s="11"/>
      <c r="I11" s="11"/>
      <c r="J11" s="11"/>
      <c r="K11" s="11"/>
      <c r="L11" s="11"/>
      <c r="M11" s="11"/>
      <c r="N11" s="11"/>
      <c r="O11" s="11"/>
      <c r="P11" s="11"/>
      <c r="Q11" s="11"/>
      <c r="R11" s="11"/>
      <c r="S11" s="19"/>
      <c r="T11" s="19"/>
      <c r="U11" s="19"/>
      <c r="V11" s="19"/>
    </row>
    <row r="12" spans="1:22" x14ac:dyDescent="0.3">
      <c r="A12" s="10"/>
      <c r="B12" s="10"/>
      <c r="C12" s="10"/>
      <c r="D12" s="11"/>
      <c r="E12" s="11"/>
      <c r="F12" s="11"/>
      <c r="G12" s="11"/>
      <c r="H12" s="11"/>
      <c r="I12" s="11"/>
      <c r="J12" s="11"/>
      <c r="K12" s="11"/>
      <c r="L12" s="11"/>
      <c r="M12" s="11"/>
      <c r="N12" s="11"/>
      <c r="O12" s="11"/>
      <c r="P12" s="11"/>
      <c r="Q12" s="11"/>
      <c r="R12" s="11"/>
      <c r="S12" s="19"/>
      <c r="T12" s="19"/>
      <c r="U12" s="19"/>
      <c r="V12" s="19"/>
    </row>
    <row r="13" spans="1:22" x14ac:dyDescent="0.3">
      <c r="A13" s="10"/>
      <c r="B13" s="10"/>
      <c r="C13" s="10"/>
      <c r="D13" s="11"/>
      <c r="E13" s="11"/>
      <c r="F13" s="11"/>
      <c r="G13" s="11"/>
      <c r="H13" s="11"/>
      <c r="I13" s="11"/>
      <c r="J13" s="11"/>
      <c r="K13" s="11"/>
      <c r="L13" s="11"/>
      <c r="M13" s="11"/>
      <c r="N13" s="11"/>
      <c r="O13" s="11"/>
      <c r="P13" s="11"/>
      <c r="Q13" s="11"/>
      <c r="R13" s="11"/>
      <c r="S13" s="19"/>
      <c r="T13" s="19"/>
      <c r="U13" s="19"/>
      <c r="V13" s="19"/>
    </row>
    <row r="14" spans="1:22" x14ac:dyDescent="0.3">
      <c r="A14" s="10"/>
      <c r="B14" s="10"/>
      <c r="C14" s="10"/>
      <c r="D14" s="11"/>
      <c r="E14" s="11"/>
      <c r="F14" s="11"/>
      <c r="G14" s="11"/>
      <c r="H14" s="11"/>
      <c r="I14" s="11"/>
      <c r="J14" s="11"/>
      <c r="K14" s="11"/>
      <c r="L14" s="11"/>
      <c r="M14" s="11"/>
      <c r="N14" s="11"/>
      <c r="O14" s="11"/>
      <c r="P14" s="11"/>
      <c r="Q14" s="11"/>
      <c r="R14" s="11"/>
      <c r="S14" s="19"/>
      <c r="T14" s="19"/>
      <c r="U14" s="19"/>
      <c r="V14" s="19"/>
    </row>
    <row r="15" spans="1:22" x14ac:dyDescent="0.3">
      <c r="A15" s="10"/>
      <c r="B15" s="10"/>
      <c r="C15" s="10"/>
      <c r="D15" s="11"/>
      <c r="E15" s="11"/>
      <c r="F15" s="11"/>
      <c r="G15" s="11"/>
      <c r="H15" s="11"/>
      <c r="I15" s="11"/>
      <c r="J15" s="11"/>
      <c r="K15" s="11"/>
      <c r="L15" s="11"/>
      <c r="M15" s="11"/>
      <c r="N15" s="11"/>
      <c r="O15" s="11"/>
      <c r="P15" s="11"/>
      <c r="Q15" s="11"/>
      <c r="R15" s="11"/>
      <c r="S15" s="19"/>
      <c r="T15" s="19"/>
      <c r="U15" s="19"/>
      <c r="V15" s="19"/>
    </row>
    <row r="16" spans="1:22" x14ac:dyDescent="0.3">
      <c r="A16" s="10"/>
      <c r="B16" s="10"/>
      <c r="C16" s="10"/>
      <c r="D16" s="11"/>
      <c r="E16" s="11"/>
      <c r="F16" s="11"/>
      <c r="G16" s="11"/>
      <c r="H16" s="11"/>
      <c r="I16" s="11"/>
      <c r="J16" s="11"/>
      <c r="K16" s="11"/>
      <c r="L16" s="11"/>
      <c r="M16" s="11"/>
      <c r="N16" s="11"/>
      <c r="O16" s="11"/>
      <c r="P16" s="11"/>
      <c r="Q16" s="11"/>
      <c r="R16" s="11"/>
      <c r="S16" s="19"/>
      <c r="T16" s="19"/>
      <c r="U16" s="19"/>
      <c r="V16" s="19"/>
    </row>
    <row r="17" spans="1:31" x14ac:dyDescent="0.3">
      <c r="A17" s="10"/>
      <c r="B17" s="10"/>
      <c r="C17" s="10"/>
      <c r="D17" s="11"/>
      <c r="E17" s="11"/>
      <c r="F17" s="11"/>
      <c r="G17" s="11"/>
      <c r="H17" s="11"/>
      <c r="I17" s="11"/>
      <c r="J17" s="11"/>
      <c r="K17" s="11"/>
      <c r="L17" s="11"/>
      <c r="M17" s="11"/>
      <c r="N17" s="11"/>
      <c r="O17" s="11"/>
      <c r="P17" s="11"/>
      <c r="Q17" s="11"/>
      <c r="R17" s="11"/>
      <c r="S17" s="19"/>
      <c r="T17" s="19"/>
      <c r="U17" s="19"/>
      <c r="V17" s="19"/>
    </row>
    <row r="18" spans="1:31" x14ac:dyDescent="0.3">
      <c r="A18" s="10"/>
      <c r="B18" s="10"/>
      <c r="C18" s="10"/>
      <c r="D18" s="11"/>
      <c r="E18" s="11"/>
      <c r="F18" s="11"/>
      <c r="G18" s="11"/>
      <c r="H18" s="11"/>
      <c r="I18" s="11"/>
      <c r="J18" s="11"/>
      <c r="K18" s="11"/>
      <c r="L18" s="11"/>
      <c r="M18" s="11"/>
      <c r="N18" s="11"/>
      <c r="O18" s="11"/>
      <c r="P18" s="11"/>
      <c r="Q18" s="11"/>
      <c r="R18" s="11"/>
      <c r="S18" s="19"/>
      <c r="T18" s="19"/>
      <c r="U18" s="19"/>
      <c r="V18" s="19"/>
    </row>
    <row r="19" spans="1:31" x14ac:dyDescent="0.3">
      <c r="A19" s="10"/>
      <c r="B19" s="10"/>
      <c r="C19" s="10"/>
      <c r="D19" s="11"/>
      <c r="E19" s="11"/>
      <c r="F19" s="11"/>
      <c r="G19" s="11"/>
      <c r="H19" s="11"/>
      <c r="I19" s="11"/>
      <c r="J19" s="11"/>
      <c r="K19" s="11"/>
      <c r="L19" s="11"/>
      <c r="M19" s="11"/>
      <c r="N19" s="11"/>
      <c r="O19" s="11"/>
      <c r="P19" s="11"/>
      <c r="Q19" s="11"/>
      <c r="R19" s="11"/>
      <c r="S19" s="19"/>
      <c r="T19" s="19"/>
      <c r="U19" s="19"/>
      <c r="V19" s="19"/>
    </row>
    <row r="20" spans="1:31" x14ac:dyDescent="0.3">
      <c r="A20" s="10"/>
      <c r="B20" s="10"/>
      <c r="C20" s="10"/>
      <c r="D20" s="11"/>
      <c r="E20" s="11"/>
      <c r="F20" s="11"/>
      <c r="G20" s="11"/>
      <c r="H20" s="11"/>
      <c r="I20" s="11"/>
      <c r="J20" s="11"/>
      <c r="K20" s="11"/>
      <c r="L20" s="11"/>
      <c r="M20" s="11"/>
      <c r="N20" s="11"/>
      <c r="O20" s="11"/>
      <c r="P20" s="11"/>
      <c r="Q20" s="11"/>
      <c r="R20" s="11"/>
      <c r="S20" s="19"/>
      <c r="T20" s="19"/>
      <c r="U20" s="19"/>
      <c r="V20" s="19"/>
    </row>
    <row r="21" spans="1:31" x14ac:dyDescent="0.3">
      <c r="A21" s="10"/>
      <c r="B21" s="10"/>
      <c r="C21" s="10"/>
      <c r="D21" s="11"/>
      <c r="E21" s="11"/>
      <c r="F21" s="11"/>
      <c r="G21" s="11"/>
      <c r="H21" s="11"/>
      <c r="I21" s="11"/>
      <c r="J21" s="11"/>
      <c r="K21" s="11"/>
      <c r="L21" s="11"/>
      <c r="M21" s="11"/>
      <c r="N21" s="11"/>
      <c r="O21" s="11"/>
      <c r="P21" s="11"/>
      <c r="Q21" s="11"/>
      <c r="R21" s="11"/>
      <c r="S21" s="19"/>
      <c r="T21" s="19"/>
      <c r="U21" s="19"/>
      <c r="V21" s="19"/>
    </row>
    <row r="22" spans="1:31" x14ac:dyDescent="0.3">
      <c r="A22" s="10"/>
      <c r="B22" s="10"/>
      <c r="C22" s="10"/>
      <c r="D22" s="11"/>
      <c r="E22" s="11"/>
      <c r="F22" s="11"/>
      <c r="G22" s="11"/>
      <c r="H22" s="11"/>
      <c r="I22" s="11"/>
      <c r="J22" s="11"/>
      <c r="K22" s="11"/>
      <c r="L22" s="11"/>
      <c r="M22" s="11"/>
      <c r="N22" s="11"/>
      <c r="O22" s="11"/>
      <c r="P22" s="11"/>
      <c r="Q22" s="11"/>
      <c r="R22" s="11"/>
      <c r="S22" s="19"/>
      <c r="T22" s="19"/>
      <c r="U22" s="19"/>
      <c r="V22" s="19"/>
    </row>
    <row r="23" spans="1:31" x14ac:dyDescent="0.3">
      <c r="A23" s="10"/>
      <c r="B23" s="10"/>
      <c r="C23" s="10"/>
      <c r="D23" s="11"/>
      <c r="E23" s="11"/>
      <c r="F23" s="11"/>
      <c r="G23" s="11"/>
      <c r="H23" s="11"/>
      <c r="I23" s="11"/>
      <c r="J23" s="11"/>
      <c r="K23" s="11"/>
      <c r="L23" s="11"/>
      <c r="M23" s="11"/>
      <c r="N23" s="11"/>
      <c r="O23" s="11"/>
      <c r="P23" s="11"/>
      <c r="Q23" s="11"/>
      <c r="R23" s="11"/>
      <c r="S23" s="19"/>
      <c r="T23" s="19"/>
      <c r="U23" s="19"/>
      <c r="V23" s="19"/>
    </row>
    <row r="24" spans="1:31" x14ac:dyDescent="0.3">
      <c r="A24" s="10"/>
      <c r="B24" s="10"/>
      <c r="C24" s="10"/>
      <c r="D24" s="11"/>
      <c r="E24" s="11"/>
      <c r="F24" s="11"/>
      <c r="G24" s="11"/>
      <c r="H24" s="11"/>
      <c r="I24" s="11"/>
      <c r="J24" s="11"/>
      <c r="K24" s="11"/>
      <c r="L24" s="11"/>
      <c r="M24" s="11"/>
      <c r="N24" s="11"/>
      <c r="O24" s="11"/>
      <c r="P24" s="11"/>
      <c r="Q24" s="11"/>
      <c r="R24" s="11"/>
      <c r="S24" s="19"/>
      <c r="T24" s="19"/>
      <c r="U24" s="19"/>
      <c r="V24" s="19"/>
    </row>
    <row r="25" spans="1:31" x14ac:dyDescent="0.3">
      <c r="A25" s="10"/>
      <c r="B25" s="10"/>
      <c r="C25" s="10"/>
      <c r="D25" s="11"/>
      <c r="E25" s="11"/>
      <c r="F25" s="11"/>
      <c r="G25" s="11"/>
      <c r="H25" s="11"/>
      <c r="I25" s="11"/>
      <c r="J25" s="11"/>
      <c r="K25" s="11"/>
      <c r="L25" s="11"/>
      <c r="M25" s="11"/>
      <c r="N25" s="11"/>
      <c r="O25" s="11"/>
      <c r="P25" s="11"/>
      <c r="Q25" s="11"/>
      <c r="R25" s="11"/>
      <c r="S25" s="19"/>
      <c r="T25" s="19"/>
      <c r="U25" s="19"/>
      <c r="V25" s="19"/>
    </row>
    <row r="26" spans="1:31" x14ac:dyDescent="0.3">
      <c r="A26" s="10"/>
      <c r="B26" s="10"/>
      <c r="C26" s="10"/>
      <c r="D26" s="11"/>
      <c r="E26" s="11"/>
      <c r="F26" s="11"/>
      <c r="G26" s="11"/>
      <c r="H26" s="11"/>
      <c r="I26" s="11"/>
      <c r="J26" s="11"/>
      <c r="K26" s="11"/>
      <c r="L26" s="11"/>
      <c r="M26" s="11"/>
      <c r="N26" s="11"/>
      <c r="O26" s="11"/>
      <c r="P26" s="11"/>
      <c r="Q26" s="11"/>
      <c r="R26" s="11"/>
      <c r="S26" s="19"/>
      <c r="T26" s="19"/>
      <c r="U26" s="19"/>
      <c r="V26" s="19"/>
    </row>
    <row r="27" spans="1:31" x14ac:dyDescent="0.3">
      <c r="A27" s="12"/>
      <c r="B27" s="12"/>
      <c r="C27" s="12"/>
      <c r="D27" s="14"/>
      <c r="E27" s="14"/>
      <c r="F27" s="14"/>
      <c r="G27" s="14"/>
      <c r="H27" s="14"/>
      <c r="I27" s="14"/>
      <c r="J27" s="14"/>
      <c r="K27" s="14"/>
      <c r="L27" s="14"/>
      <c r="M27" s="14"/>
      <c r="N27" s="14"/>
      <c r="O27" s="14"/>
      <c r="P27" s="14"/>
      <c r="Q27" s="14"/>
      <c r="R27" s="14"/>
      <c r="S27" s="19"/>
      <c r="T27" s="19"/>
      <c r="U27" s="19"/>
      <c r="V27" s="19"/>
      <c r="W27" s="13"/>
      <c r="X27" s="13"/>
      <c r="Y27" s="13"/>
      <c r="Z27" s="13"/>
      <c r="AA27" s="13"/>
      <c r="AB27" s="13"/>
      <c r="AC27" s="13"/>
      <c r="AD27" s="13"/>
      <c r="AE27" s="13"/>
    </row>
    <row r="28" spans="1:31" x14ac:dyDescent="0.3">
      <c r="A28" s="12"/>
      <c r="B28" s="12"/>
      <c r="C28" s="12"/>
      <c r="D28" s="14"/>
      <c r="E28" s="14"/>
      <c r="F28" s="14"/>
      <c r="G28" s="14"/>
      <c r="H28" s="14"/>
      <c r="I28" s="14"/>
      <c r="J28" s="14"/>
      <c r="K28" s="14"/>
      <c r="L28" s="14"/>
      <c r="M28" s="14"/>
      <c r="N28" s="14"/>
      <c r="O28" s="14"/>
      <c r="P28" s="14"/>
      <c r="Q28" s="14"/>
      <c r="R28" s="14"/>
      <c r="S28" s="19"/>
      <c r="T28" s="19"/>
      <c r="U28" s="19"/>
      <c r="V28" s="19"/>
      <c r="W28" s="13"/>
      <c r="X28" s="13"/>
      <c r="Y28" s="13"/>
      <c r="Z28" s="13"/>
      <c r="AA28" s="13"/>
      <c r="AB28" s="13"/>
      <c r="AC28" s="13"/>
      <c r="AD28" s="13"/>
      <c r="AE28" s="13"/>
    </row>
    <row r="29" spans="1:31" x14ac:dyDescent="0.3">
      <c r="A29" s="12"/>
      <c r="B29" s="12"/>
      <c r="C29" s="12"/>
      <c r="D29" s="14"/>
      <c r="E29" s="14"/>
      <c r="F29" s="14"/>
      <c r="G29" s="14"/>
      <c r="H29" s="14"/>
      <c r="I29" s="14"/>
      <c r="J29" s="14"/>
      <c r="K29" s="14"/>
      <c r="L29" s="14"/>
      <c r="M29" s="14"/>
      <c r="N29" s="14"/>
      <c r="O29" s="14"/>
      <c r="P29" s="14"/>
      <c r="Q29" s="14"/>
      <c r="R29" s="14"/>
      <c r="S29" s="19"/>
      <c r="T29" s="19"/>
      <c r="U29" s="19"/>
      <c r="V29" s="19"/>
      <c r="W29" s="13"/>
      <c r="X29" s="13"/>
      <c r="Y29" s="13"/>
      <c r="Z29" s="13"/>
      <c r="AA29" s="13"/>
      <c r="AB29" s="13"/>
      <c r="AC29" s="13"/>
      <c r="AD29" s="13"/>
      <c r="AE29" s="13"/>
    </row>
    <row r="30" spans="1:31" x14ac:dyDescent="0.3">
      <c r="A30" s="12"/>
      <c r="B30" s="12"/>
      <c r="C30" s="12"/>
      <c r="D30" s="14"/>
      <c r="E30" s="14"/>
      <c r="F30" s="14"/>
      <c r="G30" s="14"/>
      <c r="H30" s="14"/>
      <c r="I30" s="14"/>
      <c r="J30" s="14"/>
      <c r="K30" s="14"/>
      <c r="L30" s="14"/>
      <c r="M30" s="14"/>
      <c r="N30" s="14"/>
      <c r="O30" s="14"/>
      <c r="P30" s="14"/>
      <c r="Q30" s="14"/>
      <c r="R30" s="14"/>
      <c r="S30" s="19"/>
      <c r="T30" s="19"/>
      <c r="U30" s="19"/>
      <c r="V30" s="19"/>
      <c r="W30" s="13"/>
      <c r="X30" s="13"/>
      <c r="Y30" s="13"/>
      <c r="Z30" s="13"/>
      <c r="AA30" s="13"/>
      <c r="AB30" s="13"/>
      <c r="AC30" s="13"/>
      <c r="AD30" s="13"/>
      <c r="AE30" s="13"/>
    </row>
    <row r="31" spans="1:31" x14ac:dyDescent="0.3">
      <c r="A31" s="12"/>
      <c r="B31" s="12"/>
      <c r="C31" s="12"/>
      <c r="D31" s="14"/>
      <c r="E31" s="14"/>
      <c r="F31" s="14"/>
      <c r="G31" s="14"/>
      <c r="H31" s="14"/>
      <c r="I31" s="14"/>
      <c r="J31" s="14"/>
      <c r="K31" s="14"/>
      <c r="L31" s="14"/>
      <c r="M31" s="14"/>
      <c r="N31" s="14"/>
      <c r="O31" s="14"/>
      <c r="P31" s="14"/>
      <c r="Q31" s="14"/>
      <c r="R31" s="14"/>
      <c r="S31" s="19"/>
      <c r="T31" s="19"/>
      <c r="U31" s="19"/>
      <c r="V31" s="19"/>
      <c r="W31" s="13"/>
      <c r="X31" s="13"/>
      <c r="Y31" s="13"/>
      <c r="Z31" s="13"/>
      <c r="AA31" s="13"/>
      <c r="AB31" s="13"/>
      <c r="AC31" s="13"/>
      <c r="AD31" s="13"/>
      <c r="AE31" s="13"/>
    </row>
    <row r="32" spans="1:31" x14ac:dyDescent="0.3">
      <c r="A32" s="12"/>
      <c r="B32" s="12"/>
      <c r="C32" s="12"/>
      <c r="D32" s="14"/>
      <c r="E32" s="14"/>
      <c r="F32" s="14"/>
      <c r="G32" s="14"/>
      <c r="H32" s="14"/>
      <c r="I32" s="14"/>
      <c r="J32" s="14"/>
      <c r="K32" s="14"/>
      <c r="L32" s="14"/>
      <c r="M32" s="14"/>
      <c r="N32" s="14"/>
      <c r="O32" s="14"/>
      <c r="P32" s="14"/>
      <c r="Q32" s="14"/>
      <c r="R32" s="14"/>
      <c r="S32" s="19"/>
      <c r="T32" s="19"/>
      <c r="U32" s="19"/>
      <c r="V32" s="19"/>
      <c r="W32" s="13"/>
      <c r="X32" s="13"/>
      <c r="Y32" s="13"/>
      <c r="Z32" s="13"/>
      <c r="AA32" s="13"/>
      <c r="AB32" s="13"/>
      <c r="AC32" s="13"/>
      <c r="AD32" s="13"/>
      <c r="AE32" s="13"/>
    </row>
    <row r="33" spans="1:31" x14ac:dyDescent="0.3">
      <c r="A33" s="12"/>
      <c r="B33" s="12"/>
      <c r="C33" s="12"/>
      <c r="D33" s="14"/>
      <c r="E33" s="14"/>
      <c r="F33" s="14"/>
      <c r="G33" s="14"/>
      <c r="H33" s="14"/>
      <c r="I33" s="14"/>
      <c r="J33" s="14"/>
      <c r="K33" s="14"/>
      <c r="L33" s="14"/>
      <c r="M33" s="14"/>
      <c r="N33" s="14"/>
      <c r="O33" s="14"/>
      <c r="P33" s="14"/>
      <c r="Q33" s="14"/>
      <c r="R33" s="14"/>
      <c r="S33" s="19"/>
      <c r="T33" s="19"/>
      <c r="U33" s="19"/>
      <c r="V33" s="19"/>
      <c r="W33" s="13"/>
      <c r="X33" s="13"/>
      <c r="Y33" s="13"/>
      <c r="Z33" s="13"/>
      <c r="AA33" s="13"/>
      <c r="AB33" s="13"/>
      <c r="AC33" s="13"/>
      <c r="AD33" s="13"/>
      <c r="AE33" s="13"/>
    </row>
    <row r="34" spans="1:31" x14ac:dyDescent="0.3">
      <c r="A34" s="12"/>
      <c r="B34" s="12"/>
      <c r="C34" s="12"/>
      <c r="D34" s="14"/>
      <c r="E34" s="14"/>
      <c r="F34" s="14"/>
      <c r="G34" s="14"/>
      <c r="H34" s="14"/>
      <c r="I34" s="14"/>
      <c r="J34" s="14"/>
      <c r="K34" s="14"/>
      <c r="L34" s="14"/>
      <c r="M34" s="14"/>
      <c r="N34" s="14"/>
      <c r="O34" s="14"/>
      <c r="P34" s="14"/>
      <c r="Q34" s="14"/>
      <c r="R34" s="14"/>
      <c r="S34" s="19"/>
      <c r="T34" s="19"/>
      <c r="U34" s="19"/>
      <c r="V34" s="19"/>
      <c r="W34" s="13"/>
      <c r="X34" s="13"/>
      <c r="Y34" s="13"/>
      <c r="Z34" s="13"/>
      <c r="AA34" s="13"/>
      <c r="AB34" s="13"/>
      <c r="AC34" s="13"/>
      <c r="AD34" s="13"/>
      <c r="AE34" s="13"/>
    </row>
    <row r="35" spans="1:31" x14ac:dyDescent="0.3">
      <c r="A35" s="12"/>
      <c r="B35" s="12"/>
      <c r="C35" s="12"/>
      <c r="D35" s="14"/>
      <c r="E35" s="14"/>
      <c r="F35" s="14"/>
      <c r="G35" s="14"/>
      <c r="H35" s="14"/>
      <c r="I35" s="14"/>
      <c r="J35" s="14"/>
      <c r="K35" s="14"/>
      <c r="L35" s="14"/>
      <c r="M35" s="14"/>
      <c r="N35" s="14"/>
      <c r="O35" s="14"/>
      <c r="P35" s="14"/>
      <c r="Q35" s="14"/>
      <c r="R35" s="14"/>
      <c r="S35" s="19"/>
      <c r="T35" s="19"/>
      <c r="U35" s="19"/>
      <c r="V35" s="19"/>
      <c r="W35" s="13"/>
      <c r="X35" s="13"/>
      <c r="Y35" s="13"/>
      <c r="Z35" s="13"/>
      <c r="AA35" s="13"/>
      <c r="AB35" s="13"/>
      <c r="AC35" s="13"/>
      <c r="AD35" s="13"/>
      <c r="AE35" s="13"/>
    </row>
    <row r="36" spans="1:31" x14ac:dyDescent="0.3">
      <c r="A36" s="12"/>
      <c r="B36" s="12"/>
      <c r="C36" s="12"/>
      <c r="D36" s="14"/>
      <c r="E36" s="14"/>
      <c r="F36" s="14"/>
      <c r="G36" s="14"/>
      <c r="H36" s="14"/>
      <c r="I36" s="14"/>
      <c r="J36" s="14"/>
      <c r="K36" s="14"/>
      <c r="L36" s="14"/>
      <c r="M36" s="14"/>
      <c r="N36" s="14"/>
      <c r="O36" s="14"/>
      <c r="P36" s="14"/>
      <c r="Q36" s="14"/>
      <c r="R36" s="14"/>
      <c r="S36" s="19"/>
      <c r="T36" s="19"/>
      <c r="U36" s="19"/>
      <c r="V36" s="19"/>
      <c r="W36" s="13"/>
      <c r="X36" s="13"/>
      <c r="Y36" s="13"/>
      <c r="Z36" s="13"/>
      <c r="AA36" s="13"/>
      <c r="AB36" s="13"/>
      <c r="AC36" s="13"/>
      <c r="AD36" s="13"/>
      <c r="AE36" s="13"/>
    </row>
    <row r="37" spans="1:31" x14ac:dyDescent="0.3">
      <c r="A37" s="12"/>
      <c r="B37" s="12"/>
      <c r="C37" s="12"/>
      <c r="D37" s="14"/>
      <c r="E37" s="14"/>
      <c r="F37" s="14"/>
      <c r="G37" s="14"/>
      <c r="H37" s="14"/>
      <c r="I37" s="14"/>
      <c r="J37" s="14"/>
      <c r="K37" s="14"/>
      <c r="L37" s="14"/>
      <c r="M37" s="14"/>
      <c r="N37" s="14"/>
      <c r="O37" s="14"/>
      <c r="P37" s="14"/>
      <c r="Q37" s="14"/>
      <c r="R37" s="14"/>
      <c r="S37" s="19"/>
      <c r="T37" s="19"/>
      <c r="U37" s="19"/>
      <c r="V37" s="19"/>
      <c r="W37" s="13"/>
      <c r="X37" s="13"/>
      <c r="Y37" s="13"/>
      <c r="Z37" s="13"/>
      <c r="AA37" s="13"/>
      <c r="AB37" s="13"/>
      <c r="AC37" s="13"/>
      <c r="AD37" s="13"/>
      <c r="AE37" s="13"/>
    </row>
    <row r="38" spans="1:31" x14ac:dyDescent="0.3">
      <c r="A38" s="12"/>
      <c r="B38" s="12"/>
      <c r="C38" s="12"/>
      <c r="D38" s="14"/>
      <c r="E38" s="14"/>
      <c r="F38" s="14"/>
      <c r="G38" s="14"/>
      <c r="H38" s="14"/>
      <c r="I38" s="14"/>
      <c r="J38" s="14"/>
      <c r="K38" s="14"/>
      <c r="L38" s="14"/>
      <c r="M38" s="14"/>
      <c r="N38" s="14"/>
      <c r="O38" s="14"/>
      <c r="P38" s="14"/>
      <c r="Q38" s="14"/>
      <c r="R38" s="14"/>
      <c r="S38" s="19"/>
      <c r="T38" s="19"/>
      <c r="U38" s="19"/>
      <c r="V38" s="19"/>
      <c r="W38" s="13"/>
      <c r="X38" s="13"/>
      <c r="Y38" s="13"/>
      <c r="Z38" s="13"/>
      <c r="AA38" s="13"/>
      <c r="AB38" s="13"/>
      <c r="AC38" s="13"/>
      <c r="AD38" s="13"/>
      <c r="AE38" s="13"/>
    </row>
    <row r="39" spans="1:31" x14ac:dyDescent="0.3">
      <c r="A39" s="12"/>
      <c r="B39" s="12"/>
      <c r="C39" s="12"/>
      <c r="D39" s="14"/>
      <c r="E39" s="14"/>
      <c r="F39" s="14"/>
      <c r="G39" s="14"/>
      <c r="H39" s="14"/>
      <c r="I39" s="14"/>
      <c r="J39" s="14"/>
      <c r="K39" s="14"/>
      <c r="L39" s="14"/>
      <c r="M39" s="14"/>
      <c r="N39" s="14"/>
      <c r="O39" s="14"/>
      <c r="P39" s="14"/>
      <c r="Q39" s="14"/>
      <c r="R39" s="14"/>
      <c r="S39" s="19"/>
      <c r="T39" s="19"/>
      <c r="U39" s="19"/>
      <c r="V39" s="19"/>
      <c r="W39" s="13"/>
      <c r="X39" s="13"/>
      <c r="Y39" s="13"/>
      <c r="Z39" s="13"/>
      <c r="AA39" s="13"/>
      <c r="AB39" s="13"/>
      <c r="AC39" s="13"/>
      <c r="AD39" s="13"/>
      <c r="AE39" s="13"/>
    </row>
    <row r="40" spans="1:31" x14ac:dyDescent="0.3">
      <c r="A40" s="12"/>
      <c r="B40" s="12"/>
      <c r="C40" s="12"/>
      <c r="D40" s="14"/>
      <c r="E40" s="14"/>
      <c r="F40" s="14"/>
      <c r="G40" s="14"/>
      <c r="H40" s="14"/>
      <c r="I40" s="14"/>
      <c r="J40" s="14"/>
      <c r="K40" s="14"/>
      <c r="L40" s="14"/>
      <c r="M40" s="14"/>
      <c r="N40" s="14"/>
      <c r="O40" s="14"/>
      <c r="P40" s="14"/>
      <c r="Q40" s="14"/>
      <c r="R40" s="14"/>
      <c r="S40" s="19"/>
      <c r="T40" s="19"/>
      <c r="U40" s="19"/>
      <c r="V40" s="19"/>
      <c r="W40" s="13"/>
      <c r="X40" s="13"/>
      <c r="Y40" s="13"/>
      <c r="Z40" s="13"/>
      <c r="AA40" s="13"/>
      <c r="AB40" s="13"/>
      <c r="AC40" s="13"/>
      <c r="AD40" s="13"/>
      <c r="AE40" s="13"/>
    </row>
    <row r="41" spans="1:31" x14ac:dyDescent="0.3">
      <c r="A41" s="12"/>
      <c r="B41" s="12"/>
      <c r="C41" s="12"/>
      <c r="D41" s="14"/>
      <c r="E41" s="14"/>
      <c r="F41" s="14"/>
      <c r="G41" s="14"/>
      <c r="H41" s="14"/>
      <c r="I41" s="14"/>
      <c r="J41" s="14"/>
      <c r="K41" s="14"/>
      <c r="L41" s="14"/>
      <c r="M41" s="14"/>
      <c r="N41" s="14"/>
      <c r="O41" s="14"/>
      <c r="P41" s="14"/>
      <c r="Q41" s="14"/>
      <c r="R41" s="14"/>
      <c r="S41" s="19"/>
      <c r="T41" s="19"/>
      <c r="U41" s="19"/>
      <c r="V41" s="19"/>
      <c r="W41" s="13"/>
      <c r="X41" s="13"/>
      <c r="Y41" s="13"/>
      <c r="Z41" s="13"/>
      <c r="AA41" s="13"/>
      <c r="AB41" s="13"/>
      <c r="AC41" s="13"/>
      <c r="AD41" s="13"/>
      <c r="AE41" s="13"/>
    </row>
    <row r="42" spans="1:31" x14ac:dyDescent="0.3">
      <c r="A42" s="12"/>
      <c r="B42" s="12"/>
      <c r="C42" s="12"/>
      <c r="D42" s="14"/>
      <c r="E42" s="14"/>
      <c r="F42" s="14"/>
      <c r="G42" s="14"/>
      <c r="H42" s="14"/>
      <c r="I42" s="14"/>
      <c r="J42" s="14"/>
      <c r="K42" s="14"/>
      <c r="L42" s="14"/>
      <c r="M42" s="14"/>
      <c r="N42" s="14"/>
      <c r="O42" s="14"/>
      <c r="P42" s="14"/>
      <c r="Q42" s="14"/>
      <c r="R42" s="14"/>
      <c r="S42" s="19"/>
      <c r="T42" s="19"/>
      <c r="U42" s="19"/>
      <c r="V42" s="19"/>
      <c r="W42" s="13"/>
      <c r="X42" s="13"/>
      <c r="Y42" s="13"/>
      <c r="Z42" s="13"/>
      <c r="AA42" s="13"/>
      <c r="AB42" s="13"/>
      <c r="AC42" s="13"/>
      <c r="AD42" s="13"/>
      <c r="AE42" s="13"/>
    </row>
    <row r="43" spans="1:31" x14ac:dyDescent="0.3">
      <c r="A43" s="12"/>
      <c r="B43" s="12"/>
      <c r="C43" s="12"/>
      <c r="D43" s="14"/>
      <c r="E43" s="14"/>
      <c r="F43" s="14"/>
      <c r="G43" s="14"/>
      <c r="H43" s="14"/>
      <c r="I43" s="14"/>
      <c r="J43" s="14"/>
      <c r="K43" s="14"/>
      <c r="L43" s="14"/>
      <c r="M43" s="14"/>
      <c r="N43" s="14"/>
      <c r="O43" s="14"/>
      <c r="P43" s="14"/>
      <c r="Q43" s="14"/>
      <c r="R43" s="14"/>
      <c r="S43" s="19"/>
      <c r="T43" s="19"/>
      <c r="U43" s="19"/>
      <c r="V43" s="19"/>
      <c r="W43" s="13"/>
      <c r="X43" s="13"/>
      <c r="Y43" s="13"/>
      <c r="Z43" s="13"/>
      <c r="AA43" s="13"/>
      <c r="AB43" s="13"/>
      <c r="AC43" s="13"/>
      <c r="AD43" s="13"/>
      <c r="AE43" s="13"/>
    </row>
    <row r="44" spans="1:31" x14ac:dyDescent="0.3">
      <c r="A44" s="12"/>
      <c r="B44" s="12"/>
      <c r="C44" s="12"/>
      <c r="D44" s="14"/>
      <c r="E44" s="14"/>
      <c r="F44" s="14"/>
      <c r="G44" s="14"/>
      <c r="H44" s="14"/>
      <c r="I44" s="14"/>
      <c r="J44" s="14"/>
      <c r="K44" s="14"/>
      <c r="L44" s="14"/>
      <c r="M44" s="14"/>
      <c r="N44" s="14"/>
      <c r="O44" s="14"/>
      <c r="P44" s="14"/>
      <c r="Q44" s="14"/>
      <c r="R44" s="14"/>
      <c r="S44" s="19"/>
      <c r="T44" s="19"/>
      <c r="U44" s="19"/>
      <c r="V44" s="19"/>
      <c r="W44" s="13"/>
      <c r="X44" s="13"/>
      <c r="Y44" s="13"/>
      <c r="Z44" s="13"/>
      <c r="AA44" s="13"/>
      <c r="AB44" s="13"/>
      <c r="AC44" s="13"/>
      <c r="AD44" s="13"/>
      <c r="AE44" s="13"/>
    </row>
    <row r="45" spans="1:31" x14ac:dyDescent="0.3">
      <c r="A45" s="12"/>
      <c r="B45" s="12"/>
      <c r="C45" s="12"/>
      <c r="D45" s="14"/>
      <c r="E45" s="14"/>
      <c r="F45" s="14"/>
      <c r="G45" s="14"/>
      <c r="H45" s="14"/>
      <c r="I45" s="14"/>
      <c r="J45" s="14"/>
      <c r="K45" s="14"/>
      <c r="L45" s="14"/>
      <c r="M45" s="14"/>
      <c r="N45" s="14"/>
      <c r="O45" s="14"/>
      <c r="P45" s="14"/>
      <c r="Q45" s="14"/>
      <c r="R45" s="14"/>
      <c r="S45" s="19"/>
      <c r="T45" s="19"/>
      <c r="U45" s="19"/>
      <c r="V45" s="19"/>
      <c r="W45" s="13"/>
      <c r="X45" s="13"/>
      <c r="Y45" s="13"/>
      <c r="Z45" s="13"/>
      <c r="AA45" s="13"/>
      <c r="AB45" s="13"/>
      <c r="AC45" s="13"/>
      <c r="AD45" s="13"/>
      <c r="AE45" s="13"/>
    </row>
    <row r="46" spans="1:31" x14ac:dyDescent="0.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row>
    <row r="47" spans="1:31" x14ac:dyDescent="0.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row>
    <row r="48" spans="1:31" x14ac:dyDescent="0.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spans="4:31" x14ac:dyDescent="0.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spans="4:31" x14ac:dyDescent="0.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spans="4:31" x14ac:dyDescent="0.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spans="4:31" x14ac:dyDescent="0.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spans="4:31" x14ac:dyDescent="0.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spans="4:31" x14ac:dyDescent="0.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spans="4:31" x14ac:dyDescent="0.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072B-8026-4B6E-A988-65EE8D92DC01}">
  <dimension ref="A3:B7"/>
  <sheetViews>
    <sheetView workbookViewId="0">
      <selection activeCell="D19" sqref="D19"/>
    </sheetView>
  </sheetViews>
  <sheetFormatPr defaultRowHeight="14.4" x14ac:dyDescent="0.3"/>
  <cols>
    <col min="1" max="1" width="12.5546875" bestFit="1" customWidth="1"/>
    <col min="2" max="2" width="11.6640625" bestFit="1" customWidth="1"/>
  </cols>
  <sheetData>
    <row r="3" spans="1:2" x14ac:dyDescent="0.3">
      <c r="A3" s="6" t="s">
        <v>78</v>
      </c>
      <c r="B3" t="s">
        <v>77</v>
      </c>
    </row>
    <row r="4" spans="1:2" x14ac:dyDescent="0.3">
      <c r="A4" s="7" t="s">
        <v>33</v>
      </c>
      <c r="B4" s="8">
        <v>31300</v>
      </c>
    </row>
    <row r="5" spans="1:2" x14ac:dyDescent="0.3">
      <c r="A5" s="7" t="s">
        <v>15</v>
      </c>
      <c r="B5" s="8">
        <v>122400</v>
      </c>
    </row>
    <row r="6" spans="1:2" x14ac:dyDescent="0.3">
      <c r="A6" s="7" t="s">
        <v>22</v>
      </c>
      <c r="B6" s="8">
        <v>70400</v>
      </c>
    </row>
    <row r="7" spans="1:2" x14ac:dyDescent="0.3">
      <c r="A7" s="7" t="s">
        <v>79</v>
      </c>
      <c r="B7" s="8">
        <v>224100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B20A-A021-42B8-A7FD-73FA70FDF905}">
  <dimension ref="A3:B7"/>
  <sheetViews>
    <sheetView workbookViewId="0">
      <selection activeCell="M15" sqref="M15"/>
    </sheetView>
  </sheetViews>
  <sheetFormatPr defaultRowHeight="14.4" x14ac:dyDescent="0.3"/>
  <cols>
    <col min="1" max="1" width="12.5546875" bestFit="1" customWidth="1"/>
    <col min="2" max="2" width="12.109375" bestFit="1" customWidth="1"/>
  </cols>
  <sheetData>
    <row r="3" spans="1:2" x14ac:dyDescent="0.3">
      <c r="A3" s="6" t="s">
        <v>78</v>
      </c>
      <c r="B3" t="s">
        <v>86</v>
      </c>
    </row>
    <row r="4" spans="1:2" x14ac:dyDescent="0.3">
      <c r="A4" s="7" t="s">
        <v>33</v>
      </c>
      <c r="B4" s="8">
        <v>4025</v>
      </c>
    </row>
    <row r="5" spans="1:2" x14ac:dyDescent="0.3">
      <c r="A5" s="7" t="s">
        <v>15</v>
      </c>
      <c r="B5" s="8">
        <v>15189</v>
      </c>
    </row>
    <row r="6" spans="1:2" x14ac:dyDescent="0.3">
      <c r="A6" s="7" t="s">
        <v>22</v>
      </c>
      <c r="B6" s="8">
        <v>6475</v>
      </c>
    </row>
    <row r="7" spans="1:2" x14ac:dyDescent="0.3">
      <c r="A7" s="7" t="s">
        <v>79</v>
      </c>
      <c r="B7" s="8">
        <v>25689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ACC2-C2CB-49C2-A5ED-CB59CFB2AAF5}">
  <dimension ref="A3:B8"/>
  <sheetViews>
    <sheetView workbookViewId="0">
      <selection activeCell="L16" sqref="L16"/>
    </sheetView>
  </sheetViews>
  <sheetFormatPr defaultRowHeight="14.4" x14ac:dyDescent="0.3"/>
  <cols>
    <col min="1" max="1" width="12.5546875" bestFit="1" customWidth="1"/>
    <col min="2" max="2" width="14.44140625" bestFit="1" customWidth="1"/>
  </cols>
  <sheetData>
    <row r="3" spans="1:2" x14ac:dyDescent="0.3">
      <c r="A3" s="6" t="s">
        <v>78</v>
      </c>
      <c r="B3" t="s">
        <v>88</v>
      </c>
    </row>
    <row r="4" spans="1:2" x14ac:dyDescent="0.3">
      <c r="A4" s="7" t="s">
        <v>35</v>
      </c>
      <c r="B4" s="5">
        <v>3</v>
      </c>
    </row>
    <row r="5" spans="1:2" x14ac:dyDescent="0.3">
      <c r="A5" s="7" t="s">
        <v>24</v>
      </c>
      <c r="B5" s="5">
        <v>8</v>
      </c>
    </row>
    <row r="6" spans="1:2" x14ac:dyDescent="0.3">
      <c r="A6" s="7" t="s">
        <v>44</v>
      </c>
      <c r="B6" s="5">
        <v>4</v>
      </c>
    </row>
    <row r="7" spans="1:2" x14ac:dyDescent="0.3">
      <c r="A7" s="7" t="s">
        <v>17</v>
      </c>
      <c r="B7" s="5">
        <v>9</v>
      </c>
    </row>
    <row r="8" spans="1:2" x14ac:dyDescent="0.3">
      <c r="A8" s="7" t="s">
        <v>79</v>
      </c>
      <c r="B8" s="5">
        <v>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33DA-2D21-4906-B209-A57CB966515C}">
  <dimension ref="A3:B10"/>
  <sheetViews>
    <sheetView workbookViewId="0">
      <selection activeCell="M22" sqref="M22"/>
    </sheetView>
  </sheetViews>
  <sheetFormatPr defaultRowHeight="14.4" x14ac:dyDescent="0.3"/>
  <cols>
    <col min="1" max="1" width="12.5546875" bestFit="1" customWidth="1"/>
    <col min="2" max="2" width="11.6640625" bestFit="1" customWidth="1"/>
  </cols>
  <sheetData>
    <row r="3" spans="1:2" x14ac:dyDescent="0.3">
      <c r="A3" s="6" t="s">
        <v>78</v>
      </c>
      <c r="B3" t="s">
        <v>77</v>
      </c>
    </row>
    <row r="4" spans="1:2" x14ac:dyDescent="0.3">
      <c r="A4" s="7" t="s">
        <v>80</v>
      </c>
      <c r="B4" s="8">
        <v>17000</v>
      </c>
    </row>
    <row r="5" spans="1:2" x14ac:dyDescent="0.3">
      <c r="A5" s="7" t="s">
        <v>81</v>
      </c>
      <c r="B5" s="8">
        <v>28500</v>
      </c>
    </row>
    <row r="6" spans="1:2" x14ac:dyDescent="0.3">
      <c r="A6" s="7" t="s">
        <v>82</v>
      </c>
      <c r="B6" s="8">
        <v>30800</v>
      </c>
    </row>
    <row r="7" spans="1:2" x14ac:dyDescent="0.3">
      <c r="A7" s="7" t="s">
        <v>83</v>
      </c>
      <c r="B7" s="8">
        <v>38400</v>
      </c>
    </row>
    <row r="8" spans="1:2" x14ac:dyDescent="0.3">
      <c r="A8" s="7" t="s">
        <v>84</v>
      </c>
      <c r="B8" s="8">
        <v>76100</v>
      </c>
    </row>
    <row r="9" spans="1:2" x14ac:dyDescent="0.3">
      <c r="A9" s="7" t="s">
        <v>85</v>
      </c>
      <c r="B9" s="8">
        <v>33300</v>
      </c>
    </row>
    <row r="10" spans="1:2" x14ac:dyDescent="0.3">
      <c r="A10" s="7" t="s">
        <v>79</v>
      </c>
      <c r="B10" s="8">
        <v>224100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D502-C4C3-49CB-85E1-6FDD9356DAF9}">
  <dimension ref="A3:B8"/>
  <sheetViews>
    <sheetView workbookViewId="0">
      <selection activeCell="P9" sqref="P9"/>
    </sheetView>
  </sheetViews>
  <sheetFormatPr defaultRowHeight="14.4" x14ac:dyDescent="0.3"/>
  <cols>
    <col min="1" max="1" width="12.5546875" bestFit="1" customWidth="1"/>
    <col min="2" max="2" width="11.6640625" bestFit="1" customWidth="1"/>
  </cols>
  <sheetData>
    <row r="3" spans="1:2" x14ac:dyDescent="0.3">
      <c r="A3" s="6" t="s">
        <v>78</v>
      </c>
      <c r="B3" t="s">
        <v>77</v>
      </c>
    </row>
    <row r="4" spans="1:2" x14ac:dyDescent="0.3">
      <c r="A4" s="7" t="s">
        <v>31</v>
      </c>
      <c r="B4" s="8">
        <v>92700</v>
      </c>
    </row>
    <row r="5" spans="1:2" x14ac:dyDescent="0.3">
      <c r="A5" s="7" t="s">
        <v>13</v>
      </c>
      <c r="B5" s="8">
        <v>28400</v>
      </c>
    </row>
    <row r="6" spans="1:2" x14ac:dyDescent="0.3">
      <c r="A6" s="7" t="s">
        <v>20</v>
      </c>
      <c r="B6" s="8">
        <v>44400</v>
      </c>
    </row>
    <row r="7" spans="1:2" x14ac:dyDescent="0.3">
      <c r="A7" s="7" t="s">
        <v>27</v>
      </c>
      <c r="B7" s="8">
        <v>58600</v>
      </c>
    </row>
    <row r="8" spans="1:2" x14ac:dyDescent="0.3">
      <c r="A8" s="7" t="s">
        <v>79</v>
      </c>
      <c r="B8" s="8">
        <v>224100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7663-7625-47A4-B267-30A67069687E}">
  <dimension ref="C3:G6"/>
  <sheetViews>
    <sheetView workbookViewId="0">
      <selection activeCell="C6" sqref="C6"/>
    </sheetView>
  </sheetViews>
  <sheetFormatPr defaultRowHeight="14.4" x14ac:dyDescent="0.3"/>
  <cols>
    <col min="3" max="3" width="11.6640625" bestFit="1" customWidth="1"/>
    <col min="4" max="4" width="14.88671875" bestFit="1" customWidth="1"/>
    <col min="5" max="5" width="12.109375" bestFit="1" customWidth="1"/>
    <col min="6" max="6" width="16.44140625" bestFit="1" customWidth="1"/>
    <col min="7" max="7" width="18.33203125" bestFit="1" customWidth="1"/>
  </cols>
  <sheetData>
    <row r="3" spans="3:7" x14ac:dyDescent="0.3">
      <c r="C3" s="15" t="s">
        <v>77</v>
      </c>
      <c r="D3" s="15" t="s">
        <v>89</v>
      </c>
      <c r="E3" s="15" t="s">
        <v>86</v>
      </c>
      <c r="F3" s="15" t="s">
        <v>87</v>
      </c>
      <c r="G3" s="15" t="s">
        <v>90</v>
      </c>
    </row>
    <row r="4" spans="3:7" x14ac:dyDescent="0.3">
      <c r="C4" s="16">
        <v>224100</v>
      </c>
      <c r="D4" s="17">
        <v>43</v>
      </c>
      <c r="E4" s="16">
        <v>25689</v>
      </c>
      <c r="F4" s="17">
        <v>24</v>
      </c>
      <c r="G4" s="16">
        <v>9337.5</v>
      </c>
    </row>
    <row r="6" spans="3:7" x14ac:dyDescent="0.3">
      <c r="C6" s="8">
        <f>GETPIVOTDATA("Sum of Sales",$C$3)</f>
        <v>224100</v>
      </c>
      <c r="D6" s="8">
        <f>GETPIVOTDATA("Sum of Quantity",$C$3)</f>
        <v>43</v>
      </c>
      <c r="E6" s="8">
        <f>GETPIVOTDATA("Sum of Profit",$C$3)</f>
        <v>25689</v>
      </c>
      <c r="F6" s="8">
        <f>GETPIVOTDATA("Count of Order_ID",$C$3)</f>
        <v>24</v>
      </c>
      <c r="G6" s="8">
        <f>GETPIVOTDATA("Average Value order",$C$3)</f>
        <v>9337.5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Dashboard</vt:lpstr>
      <vt:lpstr>Sales by Category</vt:lpstr>
      <vt:lpstr>Profit by category</vt:lpstr>
      <vt:lpstr>Payment mode distri</vt:lpstr>
      <vt:lpstr>Monthly Sales trend</vt:lpstr>
      <vt:lpstr>Sales by region</vt:lpstr>
      <vt:lpstr>KPI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Shakshi Jalan</dc:creator>
  <cp:lastModifiedBy>Shakshi Jalan</cp:lastModifiedBy>
  <dcterms:created xsi:type="dcterms:W3CDTF">2026-09-18T08:12:27Z</dcterms:created>
  <dcterms:modified xsi:type="dcterms:W3CDTF">2026-09-18T10:22:53Z</dcterms:modified>
</cp:coreProperties>
</file>